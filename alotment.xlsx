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844\Desktop\ds projects\Project 1 (Uni Dorm Allotment)\"/>
    </mc:Choice>
  </mc:AlternateContent>
  <xr:revisionPtr revIDLastSave="0" documentId="13_ncr:1_{A637A5DF-9036-49E6-9397-D66618FCEC2B}" xr6:coauthVersionLast="47" xr6:coauthVersionMax="47" xr10:uidLastSave="{00000000-0000-0000-0000-000000000000}"/>
  <bookViews>
    <workbookView xWindow="-110" yWindow="-110" windowWidth="19420" windowHeight="10300" xr2:uid="{11A1F3B8-6CCA-4F48-8AC9-BE0FBA71DB85}"/>
  </bookViews>
  <sheets>
    <sheet name="allotment" sheetId="1" r:id="rId1"/>
    <sheet name="hostels" sheetId="3" r:id="rId2"/>
    <sheet name="pivot tables" sheetId="5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9" i="1" l="1" a="1"/>
  <c r="B169" i="1" s="1"/>
  <c r="B159" i="1"/>
  <c r="D153" i="1"/>
  <c r="B166" i="1"/>
  <c r="B165" i="1"/>
  <c r="B164" i="1"/>
  <c r="B161" i="1"/>
  <c r="B160" i="1"/>
  <c r="D2" i="3" l="1"/>
  <c r="D5" i="3"/>
  <c r="F5" i="3" s="1"/>
  <c r="D17" i="3"/>
  <c r="F17" i="3" s="1"/>
  <c r="D7" i="3"/>
  <c r="F7" i="3" s="1"/>
  <c r="D19" i="3"/>
  <c r="F19" i="3" s="1"/>
  <c r="D31" i="3"/>
  <c r="F31" i="3" s="1"/>
  <c r="D8" i="3"/>
  <c r="F8" i="3" s="1"/>
  <c r="D20" i="3"/>
  <c r="F20" i="3" s="1"/>
  <c r="D32" i="3"/>
  <c r="F32" i="3" s="1"/>
  <c r="D9" i="3"/>
  <c r="F9" i="3" s="1"/>
  <c r="D21" i="3"/>
  <c r="F21" i="3" s="1"/>
  <c r="D33" i="3"/>
  <c r="F33" i="3" s="1"/>
  <c r="D6" i="3"/>
  <c r="F6" i="3" s="1"/>
  <c r="D30" i="3"/>
  <c r="F30" i="3" s="1"/>
  <c r="D10" i="3"/>
  <c r="F10" i="3" s="1"/>
  <c r="D22" i="3"/>
  <c r="F22" i="3" s="1"/>
  <c r="D34" i="3"/>
  <c r="F34" i="3" s="1"/>
  <c r="D11" i="3"/>
  <c r="F11" i="3" s="1"/>
  <c r="D23" i="3"/>
  <c r="F23" i="3" s="1"/>
  <c r="D35" i="3"/>
  <c r="F35" i="3" s="1"/>
  <c r="D12" i="3"/>
  <c r="F12" i="3" s="1"/>
  <c r="D24" i="3"/>
  <c r="F24" i="3" s="1"/>
  <c r="D36" i="3"/>
  <c r="F36" i="3" s="1"/>
  <c r="D13" i="3"/>
  <c r="F13" i="3" s="1"/>
  <c r="D25" i="3"/>
  <c r="F25" i="3" s="1"/>
  <c r="D37" i="3"/>
  <c r="F37" i="3" s="1"/>
  <c r="D14" i="3"/>
  <c r="F14" i="3" s="1"/>
  <c r="D26" i="3"/>
  <c r="F26" i="3" s="1"/>
  <c r="D38" i="3"/>
  <c r="F38" i="3" s="1"/>
  <c r="D18" i="3"/>
  <c r="F18" i="3" s="1"/>
  <c r="D3" i="3"/>
  <c r="F3" i="3" s="1"/>
  <c r="D15" i="3"/>
  <c r="F15" i="3" s="1"/>
  <c r="D27" i="3"/>
  <c r="F27" i="3" s="1"/>
  <c r="D39" i="3"/>
  <c r="F39" i="3" s="1"/>
  <c r="D4" i="3"/>
  <c r="F4" i="3" s="1"/>
  <c r="D16" i="3"/>
  <c r="F16" i="3" s="1"/>
  <c r="D28" i="3"/>
  <c r="F28" i="3" s="1"/>
  <c r="D40" i="3"/>
  <c r="F40" i="3" s="1"/>
  <c r="D29" i="3"/>
  <c r="F29" i="3" s="1"/>
  <c r="F2" i="3" l="1"/>
  <c r="D4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<sst xmlns="http://schemas.openxmlformats.org/spreadsheetml/2006/main" count="679" uniqueCount="206">
  <si>
    <t>Sno</t>
  </si>
  <si>
    <t>Course Name</t>
  </si>
  <si>
    <t>Year</t>
  </si>
  <si>
    <t>Students</t>
  </si>
  <si>
    <t>Hostel</t>
  </si>
  <si>
    <t>M.Sc (Bio-informatics)</t>
  </si>
  <si>
    <t>Final</t>
  </si>
  <si>
    <t>M.Sc (AMBT)</t>
  </si>
  <si>
    <t>M.Sc (Biotechnology)</t>
  </si>
  <si>
    <t>M.Sc (Botany)</t>
  </si>
  <si>
    <t>M.Sc (Zoology)</t>
  </si>
  <si>
    <t>M.Sc (Chemistry)</t>
  </si>
  <si>
    <t>M.Sc (Microbiology)</t>
  </si>
  <si>
    <t>MCA</t>
  </si>
  <si>
    <t>M.Sc (Computer Science)</t>
  </si>
  <si>
    <t>M.Sc (Physics)</t>
  </si>
  <si>
    <t>M.Sc (Mathematics)</t>
  </si>
  <si>
    <t>M.Sc (Data Science)</t>
  </si>
  <si>
    <t>M.Pharma</t>
  </si>
  <si>
    <t>M.Tech</t>
  </si>
  <si>
    <t>Previous</t>
  </si>
  <si>
    <t>LL.M</t>
  </si>
  <si>
    <t>B.Tech (AI)</t>
  </si>
  <si>
    <t>B.Tech (CE)</t>
  </si>
  <si>
    <t>B.Tech (IT)</t>
  </si>
  <si>
    <t>B.Com</t>
  </si>
  <si>
    <t>M.Ed</t>
  </si>
  <si>
    <t>B.Tech</t>
  </si>
  <si>
    <t>B.Sc (Geology)</t>
  </si>
  <si>
    <t>B.Sc (Maths)</t>
  </si>
  <si>
    <t>B.Sc (Home Science)</t>
  </si>
  <si>
    <t>B.Sc (Home Science FN)</t>
  </si>
  <si>
    <t>B.A (JMC)</t>
  </si>
  <si>
    <t>B.Sc/B.A (B.Ed)</t>
  </si>
  <si>
    <t>M.Sc (Geology)</t>
  </si>
  <si>
    <t>B.Tech(CS)</t>
  </si>
  <si>
    <t>LL.B (Integrated)</t>
  </si>
  <si>
    <t>B.Pharma</t>
  </si>
  <si>
    <t>B.A</t>
  </si>
  <si>
    <t>M.A</t>
  </si>
  <si>
    <t>M.A (Textile Designing)</t>
  </si>
  <si>
    <t>M.Social Work</t>
  </si>
  <si>
    <t>M.Des</t>
  </si>
  <si>
    <t>M.A (JMC)</t>
  </si>
  <si>
    <t>B.Sc (Honours with Research)</t>
  </si>
  <si>
    <t>M.Sc (Computer Science/Electronics)</t>
  </si>
  <si>
    <t>M.Sc (Home Science)</t>
  </si>
  <si>
    <t>M.Com</t>
  </si>
  <si>
    <t>B.BA</t>
  </si>
  <si>
    <t>B.Sc (Bio Group)</t>
  </si>
  <si>
    <t>B.Sc (Data Science)</t>
  </si>
  <si>
    <t>B.Des</t>
  </si>
  <si>
    <t>B.Sc (Geology Group)</t>
  </si>
  <si>
    <t>B.A (Honours. with Research)</t>
  </si>
  <si>
    <t>M.A.</t>
  </si>
  <si>
    <t>B.Sc (Aviation)</t>
  </si>
  <si>
    <t>B.Social Work</t>
  </si>
  <si>
    <t>MBA (Integrated)</t>
  </si>
  <si>
    <t>B.Ed</t>
  </si>
  <si>
    <t>Research (Ph.D)</t>
  </si>
  <si>
    <t>B.A/B.Sc (B.Ed)</t>
  </si>
  <si>
    <t>B.Sc (Nursing)</t>
  </si>
  <si>
    <t>B.Tech (EC)</t>
  </si>
  <si>
    <t>B.Tech (MT)</t>
  </si>
  <si>
    <t>B.Tech (BT)</t>
  </si>
  <si>
    <t>M.Tech (Integrated)</t>
  </si>
  <si>
    <t>B.CA</t>
  </si>
  <si>
    <t>Engineering Diploma</t>
  </si>
  <si>
    <t>Engineering Trainee</t>
  </si>
  <si>
    <t>B.Tech (CS)</t>
  </si>
  <si>
    <t>PGDCA</t>
  </si>
  <si>
    <t>B.Tech (EE)</t>
  </si>
  <si>
    <t>B.Tech (EI)</t>
  </si>
  <si>
    <t>B.Tech (EV)</t>
  </si>
  <si>
    <t>B.CA (Hons. with Research)</t>
  </si>
  <si>
    <t>M.CA</t>
  </si>
  <si>
    <t>B.Arch</t>
  </si>
  <si>
    <t>M.Sc (Environmental Science)</t>
  </si>
  <si>
    <t>MBA</t>
  </si>
  <si>
    <t>LL.B</t>
  </si>
  <si>
    <t>B.Design</t>
  </si>
  <si>
    <t>Domain</t>
  </si>
  <si>
    <t>Science and Technology</t>
  </si>
  <si>
    <t xml:space="preserve">Pharmacy </t>
  </si>
  <si>
    <t>Law</t>
  </si>
  <si>
    <t>Commerce</t>
  </si>
  <si>
    <t>Education</t>
  </si>
  <si>
    <t xml:space="preserve">Journalism </t>
  </si>
  <si>
    <t>Arts</t>
  </si>
  <si>
    <t xml:space="preserve">Social Work </t>
  </si>
  <si>
    <t>Design</t>
  </si>
  <si>
    <t>Aviation</t>
  </si>
  <si>
    <t>law</t>
  </si>
  <si>
    <t>Research</t>
  </si>
  <si>
    <t>Nursing</t>
  </si>
  <si>
    <t>Project</t>
  </si>
  <si>
    <t xml:space="preserve">Architecture </t>
  </si>
  <si>
    <t>Grand Total</t>
  </si>
  <si>
    <t>Sum of Students</t>
  </si>
  <si>
    <t>hostel_id</t>
  </si>
  <si>
    <t>hostel_name</t>
  </si>
  <si>
    <t>capacity</t>
  </si>
  <si>
    <t>capacity status (if function)</t>
  </si>
  <si>
    <t>on capacity</t>
  </si>
  <si>
    <t>overcapacity</t>
  </si>
  <si>
    <t>undercapacity</t>
  </si>
  <si>
    <t>Capacity Status</t>
  </si>
  <si>
    <t>Hostel Name</t>
  </si>
  <si>
    <t xml:space="preserve"> </t>
  </si>
  <si>
    <t>Course name</t>
  </si>
  <si>
    <t>Complete Details</t>
  </si>
  <si>
    <t>Finding out Details for the following in the S.nos (Xlookup)</t>
  </si>
  <si>
    <t>s_no</t>
  </si>
  <si>
    <t>H-001</t>
  </si>
  <si>
    <t>H-002</t>
  </si>
  <si>
    <t>H-003</t>
  </si>
  <si>
    <t>H-004</t>
  </si>
  <si>
    <t>H-005</t>
  </si>
  <si>
    <t>H-006</t>
  </si>
  <si>
    <t>H-007</t>
  </si>
  <si>
    <t>H-008</t>
  </si>
  <si>
    <t>H-009</t>
  </si>
  <si>
    <t>H-010</t>
  </si>
  <si>
    <t>H-011</t>
  </si>
  <si>
    <t>H-012</t>
  </si>
  <si>
    <t>H-013</t>
  </si>
  <si>
    <t>H-014</t>
  </si>
  <si>
    <t>H-015</t>
  </si>
  <si>
    <t>H-016</t>
  </si>
  <si>
    <t>H-017</t>
  </si>
  <si>
    <t>H-018</t>
  </si>
  <si>
    <t>H-019</t>
  </si>
  <si>
    <t>H-020</t>
  </si>
  <si>
    <t>H-021</t>
  </si>
  <si>
    <t>H-022</t>
  </si>
  <si>
    <t>H-023</t>
  </si>
  <si>
    <t>H-024</t>
  </si>
  <si>
    <t>H-025</t>
  </si>
  <si>
    <t>H-026</t>
  </si>
  <si>
    <t>H-027</t>
  </si>
  <si>
    <t>H-028</t>
  </si>
  <si>
    <t>H-029</t>
  </si>
  <si>
    <t>H-030</t>
  </si>
  <si>
    <t>H-031</t>
  </si>
  <si>
    <t>H-032</t>
  </si>
  <si>
    <t>H-033</t>
  </si>
  <si>
    <t>H-034</t>
  </si>
  <si>
    <t>H-035</t>
  </si>
  <si>
    <t>H-036</t>
  </si>
  <si>
    <t>H-037</t>
  </si>
  <si>
    <t>H-038</t>
  </si>
  <si>
    <t>H-039</t>
  </si>
  <si>
    <t>Project from University</t>
  </si>
  <si>
    <t>Maple</t>
  </si>
  <si>
    <t>Oak</t>
  </si>
  <si>
    <t>Cedar</t>
  </si>
  <si>
    <t>Willow</t>
  </si>
  <si>
    <t>Birch</t>
  </si>
  <si>
    <t>Elm</t>
  </si>
  <si>
    <t>Almond</t>
  </si>
  <si>
    <t>Redwood</t>
  </si>
  <si>
    <t>Cypress</t>
  </si>
  <si>
    <t>Spruce</t>
  </si>
  <si>
    <t>Alder</t>
  </si>
  <si>
    <t>Poplar</t>
  </si>
  <si>
    <t>Walnut</t>
  </si>
  <si>
    <t>Chestnut</t>
  </si>
  <si>
    <t>Sycamore</t>
  </si>
  <si>
    <t>Magnolia</t>
  </si>
  <si>
    <t>Juniper</t>
  </si>
  <si>
    <t>Sequoia</t>
  </si>
  <si>
    <t>Bamboo</t>
  </si>
  <si>
    <t>Teak</t>
  </si>
  <si>
    <t>Ebony</t>
  </si>
  <si>
    <t>Rosewood</t>
  </si>
  <si>
    <t>Sandalwood</t>
  </si>
  <si>
    <t>Acacia</t>
  </si>
  <si>
    <t>Baobab</t>
  </si>
  <si>
    <t>Palm</t>
  </si>
  <si>
    <t>Fir</t>
  </si>
  <si>
    <t>Larch</t>
  </si>
  <si>
    <t>Hemlock</t>
  </si>
  <si>
    <t>Tamarind</t>
  </si>
  <si>
    <t>Neem</t>
  </si>
  <si>
    <t>Peepal</t>
  </si>
  <si>
    <t>Banyan</t>
  </si>
  <si>
    <t>Gulmohar</t>
  </si>
  <si>
    <t>Amaltas</t>
  </si>
  <si>
    <t>Kadamba</t>
  </si>
  <si>
    <t>Arjuna</t>
  </si>
  <si>
    <t>Sal</t>
  </si>
  <si>
    <t>Pine</t>
  </si>
  <si>
    <t>students_num (sumif)</t>
  </si>
  <si>
    <t>Count of hostel_name</t>
  </si>
  <si>
    <t xml:space="preserve">Table Showing number of </t>
  </si>
  <si>
    <t>Students in each hostel</t>
  </si>
  <si>
    <t xml:space="preserve">Table showing overall hostel capacity </t>
  </si>
  <si>
    <t xml:space="preserve">status </t>
  </si>
  <si>
    <t>Table showing the number of students in</t>
  </si>
  <si>
    <t>each domain, further segregated by courses</t>
  </si>
  <si>
    <t>TOTAL</t>
  </si>
  <si>
    <t>N/A</t>
  </si>
  <si>
    <t>Total</t>
  </si>
  <si>
    <t xml:space="preserve"> Finding out necessary</t>
  </si>
  <si>
    <t xml:space="preserve">details of a particular entry </t>
  </si>
  <si>
    <t>on row 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</si>
</sst>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6" fillId="35" borderId="10" xfId="0" applyFont="1" applyFill="1" applyBorder="1"/>
    <xf numFmtId="0" fontId="16" fillId="36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0" borderId="0" xfId="0" applyFont="1"/>
    <xf numFmtId="0" fontId="0" fillId="0" borderId="0" xfId="0" applyAlignment="1"/>
    <xf numFmtId="0" fontId="16" fillId="37" borderId="0" xfId="0" applyFont="1" applyFill="1" applyAlignment="1"/>
    <xf numFmtId="0" fontId="16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popli" refreshedDate="46114.665451620371" createdVersion="8" refreshedVersion="8" minRefreshableVersion="3" recordCount="151" xr:uid="{151B5E92-DE98-4A21-8D91-DD8376B5F99D}">
  <cacheSource type="worksheet">
    <worksheetSource ref="A1:F152" sheet="allotment"/>
  </cacheSource>
  <cacheFields count="6">
    <cacheField name="Sno" numFmtId="0">
      <sharedItems containsSemiMixedTypes="0" containsString="0" containsNumber="1" containsInteger="1" minValue="1" maxValue="151"/>
    </cacheField>
    <cacheField name="Course Name" numFmtId="0">
      <sharedItems count="75">
        <s v="M.Sc (Bio-informatics)"/>
        <s v="M.Sc (AMBT)"/>
        <s v="M.Sc (Biotechnology)"/>
        <s v="M.Sc (Botany)"/>
        <s v="M.Sc (Zoology)"/>
        <s v="M.Sc (Chemistry)"/>
        <s v="M.Sc (Microbiology)"/>
        <s v="MCA"/>
        <s v="M.Sc (Computer Science)"/>
        <s v="M.Sc (Physics)"/>
        <s v="M.Sc (Mathematics)"/>
        <s v="M.Sc (Data Science)"/>
        <s v="M.Pharma"/>
        <s v="M.Tech"/>
        <s v="LL.M"/>
        <s v="B.Tech (AI)"/>
        <s v="B.Tech (CE)"/>
        <s v="B.Tech (IT)"/>
        <s v="B.Com"/>
        <s v="M.Ed"/>
        <s v="B.Tech"/>
        <s v="B.Sc (Geology)"/>
        <s v="B.Sc (Maths)"/>
        <s v="B.Sc (Home Science)"/>
        <s v="B.Sc (Home Science FN)"/>
        <s v="B.A (JMC)"/>
        <s v="B.Sc/B.A (B.Ed)"/>
        <s v="M.Sc (Geology)"/>
        <s v="B.Tech(CS)"/>
        <s v="LL.B (Integrated)"/>
        <s v="B.Pharma"/>
        <s v="B.A"/>
        <s v="M.A"/>
        <s v="M.A (Textile Designing)"/>
        <s v="M.Social Work"/>
        <s v="M.Des"/>
        <s v="M.A (JMC)"/>
        <s v="B.Sc (Honours with Research)"/>
        <s v="M.Sc (Computer Science/Electronics)"/>
        <s v="M.Sc (Home Science)"/>
        <s v="M.Com"/>
        <s v="B.BA"/>
        <s v="B.Sc (Bio Group)"/>
        <s v="B.Sc (Data Science)"/>
        <s v="B.Des"/>
        <s v="B.Sc (Geology Group)"/>
        <s v="B.A (Honours. with Research)"/>
        <s v="M.A."/>
        <s v="B.Sc (Aviation)"/>
        <s v="B.Social Work"/>
        <s v="MBA (Integrated)"/>
        <s v="B.Ed"/>
        <s v="Research (Ph.D)"/>
        <s v="B.A/B.Sc (B.Ed)"/>
        <s v="B.Sc (Nursing)"/>
        <s v="B.Tech (EC)"/>
        <s v="B.Tech (MT)"/>
        <s v="B.Tech (BT)"/>
        <s v="M.Tech (Integrated)"/>
        <s v="B.CA"/>
        <s v="Project from University"/>
        <s v="Engineering Diploma"/>
        <s v="Engineering Trainee"/>
        <s v="B.Tech (CS)"/>
        <s v="PGDCA"/>
        <s v="B.Tech (EE)"/>
        <s v="B.Tech (EI)"/>
        <s v="B.Tech (EV)"/>
        <s v="B.CA (Hons. with Research)"/>
        <s v="M.CA"/>
        <s v="B.Arch"/>
        <s v="M.Sc (Environmental Science)"/>
        <s v="MBA"/>
        <s v="LL.B"/>
        <s v="B.Design"/>
      </sharedItems>
    </cacheField>
    <cacheField name="Year" numFmtId="0">
      <sharedItems containsMixedTypes="1" containsNumber="1" containsInteger="1" minValue="1" maxValue="5"/>
    </cacheField>
    <cacheField name="Students" numFmtId="0">
      <sharedItems containsSemiMixedTypes="0" containsString="0" containsNumber="1" containsInteger="1" minValue="1" maxValue="495"/>
    </cacheField>
    <cacheField name="Hostel" numFmtId="0">
      <sharedItems count="39">
        <s v="Maple"/>
        <s v="Oak"/>
        <s v="Cedar"/>
        <s v="Pine"/>
        <s v="Willow"/>
        <s v="Birch"/>
        <s v="Elm"/>
        <s v="Almond"/>
        <s v="Redwood"/>
        <s v="Cypress"/>
        <s v="Spruce"/>
        <s v="Alder"/>
        <s v="Poplar"/>
        <s v="Walnut"/>
        <s v="Chestnut"/>
        <s v="Sycamore"/>
        <s v="Magnolia"/>
        <s v="Juniper"/>
        <s v="Sequoia"/>
        <s v="Bamboo"/>
        <s v="Teak"/>
        <s v="Ebony"/>
        <s v="Rosewood"/>
        <s v="Sandalwood"/>
        <s v="Acacia"/>
        <s v="Baobab"/>
        <s v="Palm"/>
        <s v="Fir"/>
        <s v="Larch"/>
        <s v="Hemlock"/>
        <s v="Tamarind"/>
        <s v="Neem"/>
        <s v="Peepal"/>
        <s v="Banyan"/>
        <s v="Gulmohar"/>
        <s v="Amaltas"/>
        <s v="Kadamba"/>
        <s v="Arjuna"/>
        <s v="Sal"/>
      </sharedItems>
    </cacheField>
    <cacheField name="Domain" numFmtId="0">
      <sharedItems count="14">
        <s v="Science and Technology"/>
        <s v="Pharmacy "/>
        <s v="Law"/>
        <s v="Commerce"/>
        <s v="Education"/>
        <s v="Journalism "/>
        <s v="Arts"/>
        <s v="Design"/>
        <s v="Social Work "/>
        <s v="Aviation"/>
        <s v="Research"/>
        <s v="Nursing"/>
        <s v="Project"/>
        <s v="Architectur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popli" refreshedDate="46114.667740972225" createdVersion="8" refreshedVersion="8" minRefreshableVersion="3" recordCount="39" xr:uid="{76D66A49-5278-4C5A-A01E-C0A7F6674DD1}">
  <cacheSource type="worksheet">
    <worksheetSource ref="A1:F40" sheet="hostels"/>
  </cacheSource>
  <cacheFields count="6">
    <cacheField name="s_no" numFmtId="0">
      <sharedItems containsSemiMixedTypes="0" containsString="0" containsNumber="1" containsInteger="1" minValue="1" maxValue="39"/>
    </cacheField>
    <cacheField name="hostel_name" numFmtId="0">
      <sharedItems/>
    </cacheField>
    <cacheField name="capacity" numFmtId="0">
      <sharedItems containsSemiMixedTypes="0" containsString="0" containsNumber="1" containsInteger="1" minValue="154" maxValue="586"/>
    </cacheField>
    <cacheField name="students_num (sumif)" numFmtId="0">
      <sharedItems containsSemiMixedTypes="0" containsString="0" containsNumber="1" containsInteger="1" minValue="150" maxValue="588"/>
    </cacheField>
    <cacheField name="hostel_id" numFmtId="0">
      <sharedItems/>
    </cacheField>
    <cacheField name="capacity status (if function)" numFmtId="0">
      <sharedItems count="3">
        <s v="undercapacity"/>
        <s v="overcapacity"/>
        <s v="on capac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1"/>
    <x v="0"/>
    <s v="Final"/>
    <n v="5"/>
    <x v="0"/>
    <x v="0"/>
  </r>
  <r>
    <n v="2"/>
    <x v="1"/>
    <s v="Final"/>
    <n v="15"/>
    <x v="0"/>
    <x v="0"/>
  </r>
  <r>
    <n v="3"/>
    <x v="2"/>
    <s v="Final"/>
    <n v="51"/>
    <x v="0"/>
    <x v="0"/>
  </r>
  <r>
    <n v="4"/>
    <x v="3"/>
    <s v="Final"/>
    <n v="8"/>
    <x v="0"/>
    <x v="0"/>
  </r>
  <r>
    <n v="5"/>
    <x v="4"/>
    <s v="Final"/>
    <n v="25"/>
    <x v="0"/>
    <x v="0"/>
  </r>
  <r>
    <n v="6"/>
    <x v="5"/>
    <s v="Final"/>
    <n v="20"/>
    <x v="0"/>
    <x v="0"/>
  </r>
  <r>
    <n v="7"/>
    <x v="6"/>
    <s v="Final"/>
    <n v="6"/>
    <x v="0"/>
    <x v="0"/>
  </r>
  <r>
    <n v="8"/>
    <x v="7"/>
    <n v="2"/>
    <n v="110"/>
    <x v="0"/>
    <x v="0"/>
  </r>
  <r>
    <n v="9"/>
    <x v="8"/>
    <s v="Final"/>
    <n v="3"/>
    <x v="0"/>
    <x v="0"/>
  </r>
  <r>
    <n v="10"/>
    <x v="9"/>
    <s v="Final"/>
    <n v="20"/>
    <x v="0"/>
    <x v="0"/>
  </r>
  <r>
    <n v="11"/>
    <x v="10"/>
    <s v="Final"/>
    <n v="25"/>
    <x v="0"/>
    <x v="0"/>
  </r>
  <r>
    <n v="12"/>
    <x v="11"/>
    <s v="Final"/>
    <n v="8"/>
    <x v="0"/>
    <x v="0"/>
  </r>
  <r>
    <n v="13"/>
    <x v="12"/>
    <s v="Final"/>
    <n v="25"/>
    <x v="0"/>
    <x v="1"/>
  </r>
  <r>
    <n v="14"/>
    <x v="13"/>
    <s v="Previous"/>
    <n v="50"/>
    <x v="0"/>
    <x v="0"/>
  </r>
  <r>
    <n v="15"/>
    <x v="14"/>
    <s v="Previous"/>
    <n v="15"/>
    <x v="0"/>
    <x v="2"/>
  </r>
  <r>
    <n v="16"/>
    <x v="15"/>
    <n v="2"/>
    <n v="130"/>
    <x v="1"/>
    <x v="0"/>
  </r>
  <r>
    <n v="17"/>
    <x v="16"/>
    <n v="2"/>
    <n v="28"/>
    <x v="1"/>
    <x v="0"/>
  </r>
  <r>
    <n v="18"/>
    <x v="17"/>
    <n v="2"/>
    <n v="124"/>
    <x v="1"/>
    <x v="0"/>
  </r>
  <r>
    <n v="19"/>
    <x v="18"/>
    <n v="2"/>
    <n v="140"/>
    <x v="2"/>
    <x v="3"/>
  </r>
  <r>
    <n v="20"/>
    <x v="19"/>
    <n v="1"/>
    <n v="10"/>
    <x v="2"/>
    <x v="4"/>
  </r>
  <r>
    <n v="21"/>
    <x v="20"/>
    <n v="1"/>
    <n v="276"/>
    <x v="3"/>
    <x v="0"/>
  </r>
  <r>
    <n v="22"/>
    <x v="21"/>
    <n v="2"/>
    <n v="14"/>
    <x v="4"/>
    <x v="0"/>
  </r>
  <r>
    <n v="23"/>
    <x v="22"/>
    <n v="2"/>
    <n v="81"/>
    <x v="4"/>
    <x v="0"/>
  </r>
  <r>
    <n v="24"/>
    <x v="23"/>
    <n v="2"/>
    <n v="11"/>
    <x v="4"/>
    <x v="0"/>
  </r>
  <r>
    <n v="25"/>
    <x v="24"/>
    <n v="2"/>
    <n v="18"/>
    <x v="4"/>
    <x v="0"/>
  </r>
  <r>
    <n v="26"/>
    <x v="25"/>
    <n v="3"/>
    <n v="47"/>
    <x v="4"/>
    <x v="5"/>
  </r>
  <r>
    <n v="27"/>
    <x v="26"/>
    <n v="2"/>
    <n v="92"/>
    <x v="4"/>
    <x v="4"/>
  </r>
  <r>
    <n v="28"/>
    <x v="27"/>
    <s v="Final"/>
    <n v="2"/>
    <x v="4"/>
    <x v="0"/>
  </r>
  <r>
    <n v="29"/>
    <x v="19"/>
    <n v="2"/>
    <n v="8"/>
    <x v="4"/>
    <x v="4"/>
  </r>
  <r>
    <n v="30"/>
    <x v="28"/>
    <n v="3"/>
    <n v="276"/>
    <x v="5"/>
    <x v="0"/>
  </r>
  <r>
    <n v="31"/>
    <x v="29"/>
    <n v="2"/>
    <n v="215"/>
    <x v="6"/>
    <x v="2"/>
  </r>
  <r>
    <n v="32"/>
    <x v="30"/>
    <n v="2"/>
    <n v="55"/>
    <x v="6"/>
    <x v="1"/>
  </r>
  <r>
    <n v="33"/>
    <x v="31"/>
    <n v="1"/>
    <n v="450"/>
    <x v="7"/>
    <x v="6"/>
  </r>
  <r>
    <n v="34"/>
    <x v="32"/>
    <s v="Final/1"/>
    <n v="127"/>
    <x v="8"/>
    <x v="6"/>
  </r>
  <r>
    <n v="35"/>
    <x v="33"/>
    <s v="Final"/>
    <n v="2"/>
    <x v="8"/>
    <x v="7"/>
  </r>
  <r>
    <n v="36"/>
    <x v="34"/>
    <s v="Final"/>
    <n v="6"/>
    <x v="8"/>
    <x v="8"/>
  </r>
  <r>
    <n v="37"/>
    <x v="35"/>
    <n v="1"/>
    <n v="10"/>
    <x v="8"/>
    <x v="7"/>
  </r>
  <r>
    <n v="38"/>
    <x v="36"/>
    <s v="Previous"/>
    <n v="10"/>
    <x v="8"/>
    <x v="5"/>
  </r>
  <r>
    <n v="39"/>
    <x v="36"/>
    <s v="Final"/>
    <n v="4"/>
    <x v="8"/>
    <x v="5"/>
  </r>
  <r>
    <n v="40"/>
    <x v="37"/>
    <n v="4"/>
    <n v="40"/>
    <x v="9"/>
    <x v="0"/>
  </r>
  <r>
    <n v="41"/>
    <x v="38"/>
    <s v="Previous"/>
    <n v="5"/>
    <x v="9"/>
    <x v="0"/>
  </r>
  <r>
    <n v="42"/>
    <x v="9"/>
    <s v="Previous"/>
    <n v="15"/>
    <x v="9"/>
    <x v="0"/>
  </r>
  <r>
    <n v="43"/>
    <x v="10"/>
    <s v="Previous"/>
    <n v="25"/>
    <x v="9"/>
    <x v="0"/>
  </r>
  <r>
    <n v="44"/>
    <x v="11"/>
    <s v="Previous"/>
    <n v="10"/>
    <x v="9"/>
    <x v="0"/>
  </r>
  <r>
    <n v="45"/>
    <x v="1"/>
    <s v="Previous"/>
    <n v="25"/>
    <x v="9"/>
    <x v="0"/>
  </r>
  <r>
    <n v="46"/>
    <x v="0"/>
    <s v="Previous"/>
    <n v="5"/>
    <x v="9"/>
    <x v="0"/>
  </r>
  <r>
    <n v="47"/>
    <x v="2"/>
    <s v="Previous"/>
    <n v="50"/>
    <x v="9"/>
    <x v="0"/>
  </r>
  <r>
    <n v="48"/>
    <x v="3"/>
    <s v="Previous"/>
    <n v="15"/>
    <x v="9"/>
    <x v="0"/>
  </r>
  <r>
    <n v="49"/>
    <x v="5"/>
    <s v="Previous"/>
    <n v="25"/>
    <x v="9"/>
    <x v="0"/>
  </r>
  <r>
    <n v="50"/>
    <x v="6"/>
    <s v="Previous"/>
    <n v="15"/>
    <x v="9"/>
    <x v="0"/>
  </r>
  <r>
    <n v="51"/>
    <x v="4"/>
    <s v="Previous"/>
    <n v="30"/>
    <x v="9"/>
    <x v="0"/>
  </r>
  <r>
    <n v="52"/>
    <x v="39"/>
    <s v="Final"/>
    <n v="24"/>
    <x v="9"/>
    <x v="0"/>
  </r>
  <r>
    <n v="53"/>
    <x v="12"/>
    <s v="Previous"/>
    <n v="36"/>
    <x v="9"/>
    <x v="1"/>
  </r>
  <r>
    <n v="54"/>
    <x v="40"/>
    <n v="2"/>
    <n v="12"/>
    <x v="9"/>
    <x v="3"/>
  </r>
  <r>
    <n v="55"/>
    <x v="31"/>
    <n v="3"/>
    <n v="404"/>
    <x v="10"/>
    <x v="6"/>
  </r>
  <r>
    <n v="56"/>
    <x v="34"/>
    <s v="Previous"/>
    <n v="10"/>
    <x v="10"/>
    <x v="8"/>
  </r>
  <r>
    <n v="57"/>
    <x v="41"/>
    <n v="2"/>
    <n v="276"/>
    <x v="11"/>
    <x v="3"/>
  </r>
  <r>
    <n v="58"/>
    <x v="42"/>
    <n v="1"/>
    <n v="280"/>
    <x v="12"/>
    <x v="0"/>
  </r>
  <r>
    <n v="59"/>
    <x v="22"/>
    <n v="1"/>
    <n v="80"/>
    <x v="12"/>
    <x v="0"/>
  </r>
  <r>
    <n v="60"/>
    <x v="23"/>
    <n v="1"/>
    <n v="40"/>
    <x v="12"/>
    <x v="0"/>
  </r>
  <r>
    <n v="61"/>
    <x v="43"/>
    <n v="1"/>
    <n v="30"/>
    <x v="12"/>
    <x v="0"/>
  </r>
  <r>
    <n v="62"/>
    <x v="25"/>
    <n v="1"/>
    <n v="50"/>
    <x v="12"/>
    <x v="5"/>
  </r>
  <r>
    <n v="63"/>
    <x v="44"/>
    <n v="3"/>
    <n v="88"/>
    <x v="13"/>
    <x v="7"/>
  </r>
  <r>
    <n v="64"/>
    <x v="42"/>
    <n v="3"/>
    <n v="228"/>
    <x v="13"/>
    <x v="0"/>
  </r>
  <r>
    <n v="65"/>
    <x v="45"/>
    <n v="3"/>
    <n v="19"/>
    <x v="13"/>
    <x v="0"/>
  </r>
  <r>
    <n v="66"/>
    <x v="30"/>
    <n v="3"/>
    <n v="58"/>
    <x v="13"/>
    <x v="1"/>
  </r>
  <r>
    <n v="67"/>
    <x v="26"/>
    <n v="3"/>
    <n v="98"/>
    <x v="13"/>
    <x v="4"/>
  </r>
  <r>
    <n v="68"/>
    <x v="46"/>
    <n v="4"/>
    <n v="60"/>
    <x v="14"/>
    <x v="6"/>
  </r>
  <r>
    <n v="69"/>
    <x v="47"/>
    <s v="Previous"/>
    <n v="120"/>
    <x v="14"/>
    <x v="6"/>
  </r>
  <r>
    <n v="70"/>
    <x v="47"/>
    <s v="Final/1"/>
    <n v="7"/>
    <x v="14"/>
    <x v="6"/>
  </r>
  <r>
    <n v="71"/>
    <x v="44"/>
    <n v="2"/>
    <n v="75"/>
    <x v="14"/>
    <x v="7"/>
  </r>
  <r>
    <n v="72"/>
    <x v="48"/>
    <n v="1"/>
    <n v="24"/>
    <x v="14"/>
    <x v="9"/>
  </r>
  <r>
    <n v="73"/>
    <x v="48"/>
    <n v="2"/>
    <n v="16"/>
    <x v="14"/>
    <x v="9"/>
  </r>
  <r>
    <n v="74"/>
    <x v="48"/>
    <n v="3"/>
    <n v="24"/>
    <x v="14"/>
    <x v="9"/>
  </r>
  <r>
    <n v="75"/>
    <x v="41"/>
    <n v="1"/>
    <n v="280"/>
    <x v="15"/>
    <x v="3"/>
  </r>
  <r>
    <n v="76"/>
    <x v="18"/>
    <n v="1"/>
    <n v="180"/>
    <x v="15"/>
    <x v="3"/>
  </r>
  <r>
    <n v="77"/>
    <x v="49"/>
    <n v="1"/>
    <n v="20"/>
    <x v="15"/>
    <x v="8"/>
  </r>
  <r>
    <n v="78"/>
    <x v="50"/>
    <n v="1"/>
    <n v="60"/>
    <x v="15"/>
    <x v="3"/>
  </r>
  <r>
    <n v="79"/>
    <x v="29"/>
    <n v="4"/>
    <n v="220"/>
    <x v="16"/>
    <x v="2"/>
  </r>
  <r>
    <n v="80"/>
    <x v="30"/>
    <n v="4"/>
    <n v="53"/>
    <x v="16"/>
    <x v="1"/>
  </r>
  <r>
    <n v="81"/>
    <x v="29"/>
    <n v="5"/>
    <n v="222"/>
    <x v="17"/>
    <x v="2"/>
  </r>
  <r>
    <n v="82"/>
    <x v="51"/>
    <n v="1"/>
    <n v="70"/>
    <x v="17"/>
    <x v="4"/>
  </r>
  <r>
    <n v="83"/>
    <x v="31"/>
    <n v="2"/>
    <n v="363"/>
    <x v="18"/>
    <x v="6"/>
  </r>
  <r>
    <n v="84"/>
    <x v="52"/>
    <s v="-"/>
    <n v="206"/>
    <x v="19"/>
    <x v="10"/>
  </r>
  <r>
    <n v="85"/>
    <x v="53"/>
    <n v="4"/>
    <n v="93"/>
    <x v="20"/>
    <x v="4"/>
  </r>
  <r>
    <n v="86"/>
    <x v="54"/>
    <n v="2"/>
    <n v="65"/>
    <x v="20"/>
    <x v="11"/>
  </r>
  <r>
    <n v="87"/>
    <x v="54"/>
    <n v="3"/>
    <n v="59"/>
    <x v="20"/>
    <x v="11"/>
  </r>
  <r>
    <n v="88"/>
    <x v="53"/>
    <n v="4"/>
    <n v="42"/>
    <x v="20"/>
    <x v="4"/>
  </r>
  <r>
    <n v="89"/>
    <x v="55"/>
    <n v="2"/>
    <n v="123"/>
    <x v="21"/>
    <x v="0"/>
  </r>
  <r>
    <n v="90"/>
    <x v="56"/>
    <n v="2"/>
    <n v="100"/>
    <x v="21"/>
    <x v="0"/>
  </r>
  <r>
    <n v="91"/>
    <x v="57"/>
    <n v="2"/>
    <n v="53"/>
    <x v="21"/>
    <x v="0"/>
  </r>
  <r>
    <n v="92"/>
    <x v="42"/>
    <n v="2"/>
    <n v="270"/>
    <x v="22"/>
    <x v="0"/>
  </r>
  <r>
    <n v="93"/>
    <x v="20"/>
    <n v="1"/>
    <n v="276"/>
    <x v="23"/>
    <x v="0"/>
  </r>
  <r>
    <n v="94"/>
    <x v="18"/>
    <n v="3"/>
    <n v="199"/>
    <x v="24"/>
    <x v="3"/>
  </r>
  <r>
    <n v="95"/>
    <x v="29"/>
    <n v="3"/>
    <n v="208"/>
    <x v="24"/>
    <x v="2"/>
  </r>
  <r>
    <n v="96"/>
    <x v="20"/>
    <n v="1"/>
    <n v="495"/>
    <x v="25"/>
    <x v="0"/>
  </r>
  <r>
    <n v="97"/>
    <x v="58"/>
    <s v="-"/>
    <n v="50"/>
    <x v="25"/>
    <x v="0"/>
  </r>
  <r>
    <n v="98"/>
    <x v="52"/>
    <s v="-"/>
    <n v="280"/>
    <x v="26"/>
    <x v="10"/>
  </r>
  <r>
    <n v="99"/>
    <x v="59"/>
    <n v="1"/>
    <n v="150"/>
    <x v="27"/>
    <x v="0"/>
  </r>
  <r>
    <n v="100"/>
    <x v="54"/>
    <n v="1"/>
    <n v="70"/>
    <x v="27"/>
    <x v="11"/>
  </r>
  <r>
    <n v="101"/>
    <x v="60"/>
    <s v="-"/>
    <n v="61"/>
    <x v="27"/>
    <x v="12"/>
  </r>
  <r>
    <n v="102"/>
    <x v="61"/>
    <s v="-"/>
    <n v="20"/>
    <x v="27"/>
    <x v="0"/>
  </r>
  <r>
    <n v="103"/>
    <x v="62"/>
    <s v="-"/>
    <n v="20"/>
    <x v="27"/>
    <x v="0"/>
  </r>
  <r>
    <n v="104"/>
    <x v="15"/>
    <n v="3"/>
    <n v="121"/>
    <x v="28"/>
    <x v="0"/>
  </r>
  <r>
    <n v="105"/>
    <x v="63"/>
    <n v="3"/>
    <n v="34"/>
    <x v="28"/>
    <x v="0"/>
  </r>
  <r>
    <n v="106"/>
    <x v="17"/>
    <n v="3"/>
    <n v="132"/>
    <x v="28"/>
    <x v="0"/>
  </r>
  <r>
    <n v="107"/>
    <x v="64"/>
    <s v="-"/>
    <n v="5"/>
    <x v="28"/>
    <x v="0"/>
  </r>
  <r>
    <n v="108"/>
    <x v="63"/>
    <n v="2"/>
    <n v="293"/>
    <x v="29"/>
    <x v="0"/>
  </r>
  <r>
    <n v="109"/>
    <x v="65"/>
    <n v="2"/>
    <n v="116"/>
    <x v="29"/>
    <x v="0"/>
  </r>
  <r>
    <n v="110"/>
    <x v="66"/>
    <n v="2"/>
    <n v="53"/>
    <x v="29"/>
    <x v="0"/>
  </r>
  <r>
    <n v="111"/>
    <x v="67"/>
    <n v="2"/>
    <n v="57"/>
    <x v="29"/>
    <x v="0"/>
  </r>
  <r>
    <n v="112"/>
    <x v="59"/>
    <n v="3"/>
    <n v="172"/>
    <x v="30"/>
    <x v="0"/>
  </r>
  <r>
    <n v="113"/>
    <x v="68"/>
    <n v="4"/>
    <n v="8"/>
    <x v="30"/>
    <x v="0"/>
  </r>
  <r>
    <n v="114"/>
    <x v="69"/>
    <n v="1"/>
    <n v="115"/>
    <x v="30"/>
    <x v="0"/>
  </r>
  <r>
    <n v="115"/>
    <x v="59"/>
    <n v="2"/>
    <n v="165"/>
    <x v="31"/>
    <x v="0"/>
  </r>
  <r>
    <n v="116"/>
    <x v="25"/>
    <n v="2"/>
    <n v="42"/>
    <x v="31"/>
    <x v="5"/>
  </r>
  <r>
    <n v="117"/>
    <x v="70"/>
    <n v="2"/>
    <n v="8"/>
    <x v="31"/>
    <x v="13"/>
  </r>
  <r>
    <n v="118"/>
    <x v="70"/>
    <n v="3"/>
    <n v="21"/>
    <x v="31"/>
    <x v="13"/>
  </r>
  <r>
    <n v="119"/>
    <x v="70"/>
    <n v="4"/>
    <n v="9"/>
    <x v="31"/>
    <x v="13"/>
  </r>
  <r>
    <n v="120"/>
    <x v="55"/>
    <n v="4"/>
    <n v="134"/>
    <x v="32"/>
    <x v="0"/>
  </r>
  <r>
    <n v="121"/>
    <x v="17"/>
    <n v="4"/>
    <n v="136"/>
    <x v="32"/>
    <x v="0"/>
  </r>
  <r>
    <n v="122"/>
    <x v="71"/>
    <s v="Previous"/>
    <n v="5"/>
    <x v="32"/>
    <x v="0"/>
  </r>
  <r>
    <n v="123"/>
    <x v="27"/>
    <s v="Previous"/>
    <n v="5"/>
    <x v="32"/>
    <x v="0"/>
  </r>
  <r>
    <n v="124"/>
    <x v="16"/>
    <n v="3"/>
    <n v="19"/>
    <x v="33"/>
    <x v="0"/>
  </r>
  <r>
    <n v="125"/>
    <x v="65"/>
    <n v="3"/>
    <n v="90"/>
    <x v="33"/>
    <x v="0"/>
  </r>
  <r>
    <n v="126"/>
    <x v="66"/>
    <n v="3"/>
    <n v="48"/>
    <x v="33"/>
    <x v="0"/>
  </r>
  <r>
    <n v="127"/>
    <x v="67"/>
    <n v="3"/>
    <n v="51"/>
    <x v="33"/>
    <x v="0"/>
  </r>
  <r>
    <n v="128"/>
    <x v="56"/>
    <n v="3"/>
    <n v="57"/>
    <x v="33"/>
    <x v="0"/>
  </r>
  <r>
    <n v="129"/>
    <x v="41"/>
    <n v="3"/>
    <n v="323"/>
    <x v="33"/>
    <x v="3"/>
  </r>
  <r>
    <n v="130"/>
    <x v="22"/>
    <n v="3"/>
    <n v="73"/>
    <x v="34"/>
    <x v="0"/>
  </r>
  <r>
    <n v="131"/>
    <x v="24"/>
    <n v="3"/>
    <n v="25"/>
    <x v="34"/>
    <x v="0"/>
  </r>
  <r>
    <n v="132"/>
    <x v="23"/>
    <n v="3"/>
    <n v="7"/>
    <x v="34"/>
    <x v="0"/>
  </r>
  <r>
    <n v="133"/>
    <x v="70"/>
    <n v="5"/>
    <n v="4"/>
    <x v="34"/>
    <x v="13"/>
  </r>
  <r>
    <n v="134"/>
    <x v="57"/>
    <n v="3"/>
    <n v="58"/>
    <x v="34"/>
    <x v="0"/>
  </r>
  <r>
    <n v="135"/>
    <x v="55"/>
    <n v="3"/>
    <n v="110"/>
    <x v="34"/>
    <x v="0"/>
  </r>
  <r>
    <n v="136"/>
    <x v="15"/>
    <n v="4"/>
    <n v="95"/>
    <x v="35"/>
    <x v="0"/>
  </r>
  <r>
    <n v="137"/>
    <x v="65"/>
    <n v="2"/>
    <n v="80"/>
    <x v="35"/>
    <x v="0"/>
  </r>
  <r>
    <n v="138"/>
    <x v="44"/>
    <n v="4"/>
    <n v="105"/>
    <x v="35"/>
    <x v="7"/>
  </r>
  <r>
    <n v="139"/>
    <x v="33"/>
    <s v="Previous"/>
    <n v="10"/>
    <x v="35"/>
    <x v="7"/>
  </r>
  <r>
    <n v="140"/>
    <x v="72"/>
    <n v="1"/>
    <n v="400"/>
    <x v="36"/>
    <x v="3"/>
  </r>
  <r>
    <n v="141"/>
    <x v="73"/>
    <n v="1"/>
    <n v="240"/>
    <x v="37"/>
    <x v="2"/>
  </r>
  <r>
    <n v="142"/>
    <x v="53"/>
    <n v="1"/>
    <n v="100"/>
    <x v="37"/>
    <x v="4"/>
  </r>
  <r>
    <n v="143"/>
    <x v="23"/>
    <n v="4"/>
    <n v="1"/>
    <x v="37"/>
    <x v="0"/>
  </r>
  <r>
    <n v="144"/>
    <x v="39"/>
    <s v="Previous"/>
    <n v="30"/>
    <x v="37"/>
    <x v="0"/>
  </r>
  <r>
    <n v="145"/>
    <x v="40"/>
    <n v="1"/>
    <n v="20"/>
    <x v="37"/>
    <x v="3"/>
  </r>
  <r>
    <n v="146"/>
    <x v="60"/>
    <s v="-"/>
    <n v="20"/>
    <x v="37"/>
    <x v="12"/>
  </r>
  <r>
    <n v="147"/>
    <x v="74"/>
    <n v="1"/>
    <n v="100"/>
    <x v="38"/>
    <x v="7"/>
  </r>
  <r>
    <n v="148"/>
    <x v="70"/>
    <n v="1"/>
    <n v="20"/>
    <x v="38"/>
    <x v="13"/>
  </r>
  <r>
    <n v="149"/>
    <x v="21"/>
    <n v="1"/>
    <n v="15"/>
    <x v="38"/>
    <x v="0"/>
  </r>
  <r>
    <n v="150"/>
    <x v="30"/>
    <n v="1"/>
    <n v="60"/>
    <x v="38"/>
    <x v="1"/>
  </r>
  <r>
    <n v="151"/>
    <x v="20"/>
    <n v="1"/>
    <n v="83"/>
    <x v="3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Maple"/>
    <n v="392"/>
    <n v="386"/>
    <s v="H-001"/>
    <x v="0"/>
  </r>
  <r>
    <n v="2"/>
    <s v="Oak"/>
    <n v="270"/>
    <n v="282"/>
    <s v="H-002"/>
    <x v="1"/>
  </r>
  <r>
    <n v="3"/>
    <s v="Cedar"/>
    <n v="154"/>
    <n v="150"/>
    <s v="H-003"/>
    <x v="0"/>
  </r>
  <r>
    <n v="4"/>
    <s v="Pine"/>
    <n v="270"/>
    <n v="276"/>
    <s v="H-004"/>
    <x v="1"/>
  </r>
  <r>
    <n v="5"/>
    <s v="Willow"/>
    <n v="272"/>
    <n v="273"/>
    <s v="H-005"/>
    <x v="1"/>
  </r>
  <r>
    <n v="6"/>
    <s v="Birch"/>
    <n v="270"/>
    <n v="276"/>
    <s v="H-006"/>
    <x v="1"/>
  </r>
  <r>
    <n v="7"/>
    <s v="Elm"/>
    <n v="272"/>
    <n v="270"/>
    <s v="H-007"/>
    <x v="0"/>
  </r>
  <r>
    <n v="8"/>
    <s v="Almond"/>
    <n v="453"/>
    <n v="450"/>
    <s v="H-008"/>
    <x v="0"/>
  </r>
  <r>
    <n v="9"/>
    <s v="Redwood"/>
    <n v="159"/>
    <n v="159"/>
    <s v="H-009"/>
    <x v="2"/>
  </r>
  <r>
    <n v="10"/>
    <s v="Cypress"/>
    <n v="332"/>
    <n v="332"/>
    <s v="H-010"/>
    <x v="2"/>
  </r>
  <r>
    <n v="11"/>
    <s v="Spruce"/>
    <n v="414"/>
    <n v="414"/>
    <s v="H-011"/>
    <x v="2"/>
  </r>
  <r>
    <n v="12"/>
    <s v="Alder"/>
    <n v="273"/>
    <n v="276"/>
    <s v="H-012"/>
    <x v="1"/>
  </r>
  <r>
    <n v="13"/>
    <s v="Poplar"/>
    <n v="485"/>
    <n v="480"/>
    <s v="H-013"/>
    <x v="0"/>
  </r>
  <r>
    <n v="14"/>
    <s v="Walnut"/>
    <n v="492"/>
    <n v="491"/>
    <s v="H-014"/>
    <x v="0"/>
  </r>
  <r>
    <n v="15"/>
    <s v="Chestnut"/>
    <n v="330"/>
    <n v="326"/>
    <s v="H-015"/>
    <x v="0"/>
  </r>
  <r>
    <n v="16"/>
    <s v="Sycamore"/>
    <n v="542"/>
    <n v="540"/>
    <s v="H-016"/>
    <x v="0"/>
  </r>
  <r>
    <n v="17"/>
    <s v="Magnolia"/>
    <n v="270"/>
    <n v="273"/>
    <s v="H-017"/>
    <x v="1"/>
  </r>
  <r>
    <n v="18"/>
    <s v="Juniper"/>
    <n v="294"/>
    <n v="292"/>
    <s v="H-018"/>
    <x v="0"/>
  </r>
  <r>
    <n v="19"/>
    <s v="Sequoia"/>
    <n v="364"/>
    <n v="363"/>
    <s v="H-019"/>
    <x v="0"/>
  </r>
  <r>
    <n v="20"/>
    <s v="Bamboo"/>
    <n v="206"/>
    <n v="206"/>
    <s v="H-020"/>
    <x v="2"/>
  </r>
  <r>
    <n v="21"/>
    <s v="Teak"/>
    <n v="256"/>
    <n v="259"/>
    <s v="H-021"/>
    <x v="1"/>
  </r>
  <r>
    <n v="22"/>
    <s v="Ebony"/>
    <n v="270"/>
    <n v="276"/>
    <s v="H-022"/>
    <x v="1"/>
  </r>
  <r>
    <n v="23"/>
    <s v="Rosewood"/>
    <n v="270"/>
    <n v="270"/>
    <s v="H-023"/>
    <x v="2"/>
  </r>
  <r>
    <n v="24"/>
    <s v="Sandalwood"/>
    <n v="270"/>
    <n v="276"/>
    <s v="H-024"/>
    <x v="1"/>
  </r>
  <r>
    <n v="25"/>
    <s v="Acacia"/>
    <n v="396"/>
    <n v="407"/>
    <s v="H-025"/>
    <x v="1"/>
  </r>
  <r>
    <n v="26"/>
    <s v="Baobab"/>
    <n v="545"/>
    <n v="545"/>
    <s v="H-026"/>
    <x v="2"/>
  </r>
  <r>
    <n v="27"/>
    <s v="Palm"/>
    <n v="280"/>
    <n v="280"/>
    <s v="H-027"/>
    <x v="2"/>
  </r>
  <r>
    <n v="28"/>
    <s v="Fir"/>
    <n v="317"/>
    <n v="321"/>
    <s v="H-028"/>
    <x v="1"/>
  </r>
  <r>
    <n v="29"/>
    <s v="Larch"/>
    <n v="294"/>
    <n v="292"/>
    <s v="H-029"/>
    <x v="0"/>
  </r>
  <r>
    <n v="30"/>
    <s v="Hemlock"/>
    <n v="518"/>
    <n v="519"/>
    <s v="H-030"/>
    <x v="1"/>
  </r>
  <r>
    <n v="31"/>
    <s v="Tamarind"/>
    <n v="292"/>
    <n v="295"/>
    <s v="H-031"/>
    <x v="1"/>
  </r>
  <r>
    <n v="32"/>
    <s v="Neem"/>
    <n v="247"/>
    <n v="245"/>
    <s v="H-032"/>
    <x v="0"/>
  </r>
  <r>
    <n v="33"/>
    <s v="Peepal"/>
    <n v="294"/>
    <n v="280"/>
    <s v="H-033"/>
    <x v="0"/>
  </r>
  <r>
    <n v="34"/>
    <s v="Banyan"/>
    <n v="586"/>
    <n v="588"/>
    <s v="H-034"/>
    <x v="1"/>
  </r>
  <r>
    <n v="35"/>
    <s v="Gulmohar"/>
    <n v="270"/>
    <n v="277"/>
    <s v="H-035"/>
    <x v="1"/>
  </r>
  <r>
    <n v="36"/>
    <s v="Amaltas"/>
    <n v="294"/>
    <n v="290"/>
    <s v="H-036"/>
    <x v="0"/>
  </r>
  <r>
    <n v="37"/>
    <s v="Kadamba"/>
    <n v="402"/>
    <n v="400"/>
    <s v="H-037"/>
    <x v="0"/>
  </r>
  <r>
    <n v="38"/>
    <s v="Arjuna"/>
    <n v="411"/>
    <n v="411"/>
    <s v="H-038"/>
    <x v="2"/>
  </r>
  <r>
    <n v="39"/>
    <s v="Sal"/>
    <n v="272"/>
    <n v="278"/>
    <s v="H-0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9E7DE-B968-45FA-9A86-8A458EE87C9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omain">
  <location ref="D15:E30" firstHeaderRow="1" firstDataRow="1" firstDataCol="1"/>
  <pivotFields count="6">
    <pivotField showAll="0"/>
    <pivotField axis="axisRow" showAll="0">
      <items count="76">
        <item x="31"/>
        <item x="46"/>
        <item x="25"/>
        <item x="53"/>
        <item x="70"/>
        <item x="41"/>
        <item x="59"/>
        <item x="68"/>
        <item x="18"/>
        <item x="44"/>
        <item x="74"/>
        <item x="51"/>
        <item x="30"/>
        <item x="48"/>
        <item x="42"/>
        <item x="43"/>
        <item x="45"/>
        <item x="21"/>
        <item x="24"/>
        <item x="23"/>
        <item x="37"/>
        <item x="22"/>
        <item x="54"/>
        <item x="26"/>
        <item x="49"/>
        <item x="20"/>
        <item x="15"/>
        <item x="57"/>
        <item x="16"/>
        <item x="63"/>
        <item x="55"/>
        <item x="65"/>
        <item x="66"/>
        <item x="67"/>
        <item x="17"/>
        <item x="56"/>
        <item x="28"/>
        <item x="61"/>
        <item x="62"/>
        <item x="73"/>
        <item x="29"/>
        <item x="14"/>
        <item x="32"/>
        <item x="36"/>
        <item x="33"/>
        <item x="47"/>
        <item x="69"/>
        <item x="40"/>
        <item x="35"/>
        <item x="19"/>
        <item x="12"/>
        <item x="1"/>
        <item x="0"/>
        <item x="2"/>
        <item x="3"/>
        <item x="5"/>
        <item x="8"/>
        <item x="38"/>
        <item x="11"/>
        <item x="71"/>
        <item x="27"/>
        <item x="39"/>
        <item x="10"/>
        <item x="6"/>
        <item x="9"/>
        <item x="4"/>
        <item x="34"/>
        <item x="13"/>
        <item x="58"/>
        <item x="72"/>
        <item x="50"/>
        <item x="7"/>
        <item x="64"/>
        <item x="60"/>
        <item x="52"/>
        <item t="default"/>
      </items>
    </pivotField>
    <pivotField showAll="0"/>
    <pivotField dataField="1" showAll="0"/>
    <pivotField showAll="0"/>
    <pivotField axis="axisRow" showAll="0">
      <items count="15">
        <item sd="0" x="13"/>
        <item sd="0" x="6"/>
        <item sd="0" x="9"/>
        <item sd="0" x="3"/>
        <item sd="0" x="7"/>
        <item sd="0" x="4"/>
        <item sd="0" x="5"/>
        <item sd="0" x="2"/>
        <item sd="0" x="11"/>
        <item sd="0" x="1"/>
        <item sd="0" x="12"/>
        <item sd="0" x="10"/>
        <item sd="0" x="0"/>
        <item sd="0" x="8"/>
        <item t="default"/>
      </items>
    </pivotField>
  </pivotFields>
  <rowFields count="2">
    <field x="5"/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tuden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E8CDB-0B8B-4A63-B82B-20E8FC0F419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pacity Status">
  <location ref="D4:E8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stel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25E05-6063-44DE-B439-FD52C288BA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stel Name">
  <location ref="A4:B44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40">
        <item x="24"/>
        <item x="11"/>
        <item x="7"/>
        <item x="35"/>
        <item x="37"/>
        <item x="19"/>
        <item x="33"/>
        <item x="25"/>
        <item x="5"/>
        <item x="2"/>
        <item x="14"/>
        <item x="9"/>
        <item x="21"/>
        <item x="6"/>
        <item x="27"/>
        <item x="34"/>
        <item x="29"/>
        <item x="17"/>
        <item x="36"/>
        <item x="28"/>
        <item x="16"/>
        <item x="0"/>
        <item x="31"/>
        <item x="1"/>
        <item x="26"/>
        <item x="32"/>
        <item x="3"/>
        <item x="12"/>
        <item x="8"/>
        <item x="22"/>
        <item x="38"/>
        <item x="23"/>
        <item x="18"/>
        <item x="10"/>
        <item x="15"/>
        <item x="30"/>
        <item x="20"/>
        <item x="13"/>
        <item x="4"/>
        <item t="default"/>
      </items>
    </pivotField>
    <pivotField showAll="0"/>
  </pivotFields>
  <rowFields count="1">
    <field x="4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Studen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6D40-E36E-47E1-8B4C-7F5ECDEEFE09}">
  <dimension ref="A1:J171"/>
  <sheetViews>
    <sheetView tabSelected="1" workbookViewId="0">
      <selection activeCell="G16" sqref="G16"/>
    </sheetView>
  </sheetViews>
  <sheetFormatPr defaultRowHeight="14.5" x14ac:dyDescent="0.35"/>
  <cols>
    <col min="1" max="1" width="17.26953125" style="1" customWidth="1"/>
    <col min="2" max="2" width="37.08984375" style="1" customWidth="1"/>
    <col min="3" max="3" width="14.81640625" style="1" customWidth="1"/>
    <col min="4" max="4" width="8.7265625" style="1"/>
    <col min="5" max="5" width="21.90625" style="1" customWidth="1"/>
    <col min="6" max="6" width="31.1796875" customWidth="1"/>
    <col min="7" max="7" width="11.26953125" customWidth="1"/>
    <col min="8" max="8" width="8.7265625" style="1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81</v>
      </c>
      <c r="H1" s="12" t="s">
        <v>203</v>
      </c>
      <c r="I1" s="13"/>
      <c r="J1" s="13"/>
    </row>
    <row r="2" spans="1:10" x14ac:dyDescent="0.35">
      <c r="A2" s="1">
        <v>1</v>
      </c>
      <c r="B2" s="1" t="s">
        <v>5</v>
      </c>
      <c r="C2" s="1" t="s">
        <v>6</v>
      </c>
      <c r="D2" s="1">
        <v>5</v>
      </c>
      <c r="E2" s="1" t="s">
        <v>153</v>
      </c>
      <c r="F2" s="1" t="s">
        <v>82</v>
      </c>
      <c r="H2" s="12" t="s">
        <v>204</v>
      </c>
      <c r="I2" s="13"/>
      <c r="J2" s="13"/>
    </row>
    <row r="3" spans="1:10" x14ac:dyDescent="0.35">
      <c r="A3" s="1">
        <v>2</v>
      </c>
      <c r="B3" s="1" t="s">
        <v>7</v>
      </c>
      <c r="C3" s="1" t="s">
        <v>6</v>
      </c>
      <c r="D3" s="1">
        <v>15</v>
      </c>
      <c r="E3" s="1" t="s">
        <v>153</v>
      </c>
      <c r="F3" s="1" t="s">
        <v>82</v>
      </c>
      <c r="H3" s="12" t="s">
        <v>205</v>
      </c>
      <c r="I3" s="13"/>
      <c r="J3" s="13"/>
    </row>
    <row r="4" spans="1:10" x14ac:dyDescent="0.35">
      <c r="A4" s="1">
        <v>3</v>
      </c>
      <c r="B4" s="1" t="s">
        <v>8</v>
      </c>
      <c r="C4" s="1" t="s">
        <v>6</v>
      </c>
      <c r="D4" s="1">
        <v>51</v>
      </c>
      <c r="E4" s="1" t="s">
        <v>153</v>
      </c>
      <c r="F4" s="1" t="s">
        <v>82</v>
      </c>
    </row>
    <row r="5" spans="1:10" x14ac:dyDescent="0.35">
      <c r="A5" s="1">
        <v>4</v>
      </c>
      <c r="B5" s="1" t="s">
        <v>9</v>
      </c>
      <c r="C5" s="1" t="s">
        <v>6</v>
      </c>
      <c r="D5" s="1">
        <v>8</v>
      </c>
      <c r="E5" s="1" t="s">
        <v>153</v>
      </c>
      <c r="F5" s="1" t="s">
        <v>82</v>
      </c>
    </row>
    <row r="6" spans="1:10" x14ac:dyDescent="0.35">
      <c r="A6" s="1">
        <v>5</v>
      </c>
      <c r="B6" s="1" t="s">
        <v>10</v>
      </c>
      <c r="C6" s="1" t="s">
        <v>6</v>
      </c>
      <c r="D6" s="1">
        <v>25</v>
      </c>
      <c r="E6" s="1" t="s">
        <v>153</v>
      </c>
      <c r="F6" s="1" t="s">
        <v>82</v>
      </c>
    </row>
    <row r="7" spans="1:10" x14ac:dyDescent="0.35">
      <c r="A7" s="1">
        <v>6</v>
      </c>
      <c r="B7" s="1" t="s">
        <v>11</v>
      </c>
      <c r="C7" s="1" t="s">
        <v>6</v>
      </c>
      <c r="D7" s="1">
        <v>20</v>
      </c>
      <c r="E7" s="1" t="s">
        <v>153</v>
      </c>
      <c r="F7" s="1" t="s">
        <v>82</v>
      </c>
    </row>
    <row r="8" spans="1:10" x14ac:dyDescent="0.35">
      <c r="A8" s="1">
        <v>7</v>
      </c>
      <c r="B8" s="1" t="s">
        <v>12</v>
      </c>
      <c r="C8" s="1" t="s">
        <v>6</v>
      </c>
      <c r="D8" s="1">
        <v>6</v>
      </c>
      <c r="E8" s="1" t="s">
        <v>153</v>
      </c>
      <c r="F8" s="1" t="s">
        <v>82</v>
      </c>
    </row>
    <row r="9" spans="1:10" x14ac:dyDescent="0.35">
      <c r="A9" s="1">
        <v>8</v>
      </c>
      <c r="B9" s="1" t="s">
        <v>13</v>
      </c>
      <c r="C9" s="1">
        <v>2</v>
      </c>
      <c r="D9" s="1">
        <v>110</v>
      </c>
      <c r="E9" s="1" t="s">
        <v>153</v>
      </c>
      <c r="F9" s="1" t="s">
        <v>82</v>
      </c>
    </row>
    <row r="10" spans="1:10" x14ac:dyDescent="0.35">
      <c r="A10" s="1">
        <v>9</v>
      </c>
      <c r="B10" s="1" t="s">
        <v>14</v>
      </c>
      <c r="C10" s="1" t="s">
        <v>6</v>
      </c>
      <c r="D10" s="1">
        <v>3</v>
      </c>
      <c r="E10" s="1" t="s">
        <v>153</v>
      </c>
      <c r="F10" s="1" t="s">
        <v>82</v>
      </c>
    </row>
    <row r="11" spans="1:10" x14ac:dyDescent="0.35">
      <c r="A11" s="1">
        <v>10</v>
      </c>
      <c r="B11" s="1" t="s">
        <v>15</v>
      </c>
      <c r="C11" s="1" t="s">
        <v>6</v>
      </c>
      <c r="D11" s="1">
        <v>20</v>
      </c>
      <c r="E11" s="1" t="s">
        <v>153</v>
      </c>
      <c r="F11" s="1" t="s">
        <v>82</v>
      </c>
    </row>
    <row r="12" spans="1:10" x14ac:dyDescent="0.35">
      <c r="A12" s="1">
        <v>11</v>
      </c>
      <c r="B12" s="1" t="s">
        <v>16</v>
      </c>
      <c r="C12" s="1" t="s">
        <v>6</v>
      </c>
      <c r="D12" s="1">
        <v>25</v>
      </c>
      <c r="E12" s="1" t="s">
        <v>153</v>
      </c>
      <c r="F12" s="1" t="s">
        <v>82</v>
      </c>
    </row>
    <row r="13" spans="1:10" x14ac:dyDescent="0.35">
      <c r="A13" s="1">
        <v>12</v>
      </c>
      <c r="B13" s="1" t="s">
        <v>17</v>
      </c>
      <c r="C13" s="1" t="s">
        <v>6</v>
      </c>
      <c r="D13" s="1">
        <v>8</v>
      </c>
      <c r="E13" s="1" t="s">
        <v>153</v>
      </c>
      <c r="F13" s="1" t="s">
        <v>82</v>
      </c>
    </row>
    <row r="14" spans="1:10" x14ac:dyDescent="0.35">
      <c r="A14" s="1">
        <v>13</v>
      </c>
      <c r="B14" s="1" t="s">
        <v>18</v>
      </c>
      <c r="C14" s="1" t="s">
        <v>6</v>
      </c>
      <c r="D14" s="1">
        <v>25</v>
      </c>
      <c r="E14" s="1" t="s">
        <v>153</v>
      </c>
      <c r="F14" s="1" t="s">
        <v>83</v>
      </c>
    </row>
    <row r="15" spans="1:10" x14ac:dyDescent="0.35">
      <c r="A15" s="1">
        <v>14</v>
      </c>
      <c r="B15" s="1" t="s">
        <v>19</v>
      </c>
      <c r="C15" s="1" t="s">
        <v>20</v>
      </c>
      <c r="D15" s="1">
        <v>50</v>
      </c>
      <c r="E15" s="1" t="s">
        <v>153</v>
      </c>
      <c r="F15" s="1" t="s">
        <v>82</v>
      </c>
    </row>
    <row r="16" spans="1:10" x14ac:dyDescent="0.35">
      <c r="A16" s="1">
        <v>15</v>
      </c>
      <c r="B16" s="1" t="s">
        <v>21</v>
      </c>
      <c r="C16" s="1" t="s">
        <v>20</v>
      </c>
      <c r="D16" s="1">
        <v>15</v>
      </c>
      <c r="E16" s="1" t="s">
        <v>153</v>
      </c>
      <c r="F16" s="1" t="s">
        <v>84</v>
      </c>
    </row>
    <row r="17" spans="1:6" x14ac:dyDescent="0.35">
      <c r="A17" s="1">
        <v>16</v>
      </c>
      <c r="B17" s="1" t="s">
        <v>22</v>
      </c>
      <c r="C17" s="1">
        <v>2</v>
      </c>
      <c r="D17" s="1">
        <v>130</v>
      </c>
      <c r="E17" s="1" t="s">
        <v>154</v>
      </c>
      <c r="F17" s="1" t="s">
        <v>82</v>
      </c>
    </row>
    <row r="18" spans="1:6" x14ac:dyDescent="0.35">
      <c r="A18" s="1">
        <v>17</v>
      </c>
      <c r="B18" s="1" t="s">
        <v>23</v>
      </c>
      <c r="C18" s="1">
        <v>2</v>
      </c>
      <c r="D18" s="1">
        <v>28</v>
      </c>
      <c r="E18" s="1" t="s">
        <v>154</v>
      </c>
      <c r="F18" s="1" t="s">
        <v>82</v>
      </c>
    </row>
    <row r="19" spans="1:6" x14ac:dyDescent="0.35">
      <c r="A19" s="1">
        <v>18</v>
      </c>
      <c r="B19" s="1" t="s">
        <v>24</v>
      </c>
      <c r="C19" s="1">
        <v>2</v>
      </c>
      <c r="D19" s="1">
        <v>124</v>
      </c>
      <c r="E19" s="1" t="s">
        <v>154</v>
      </c>
      <c r="F19" s="1" t="s">
        <v>82</v>
      </c>
    </row>
    <row r="20" spans="1:6" x14ac:dyDescent="0.35">
      <c r="A20" s="1">
        <v>19</v>
      </c>
      <c r="B20" s="1" t="s">
        <v>25</v>
      </c>
      <c r="C20" s="1">
        <v>2</v>
      </c>
      <c r="D20" s="1">
        <v>140</v>
      </c>
      <c r="E20" s="1" t="s">
        <v>155</v>
      </c>
      <c r="F20" s="1" t="s">
        <v>85</v>
      </c>
    </row>
    <row r="21" spans="1:6" x14ac:dyDescent="0.35">
      <c r="A21" s="1">
        <v>20</v>
      </c>
      <c r="B21" s="1" t="s">
        <v>26</v>
      </c>
      <c r="C21" s="1">
        <v>1</v>
      </c>
      <c r="D21" s="1">
        <v>10</v>
      </c>
      <c r="E21" s="1" t="s">
        <v>155</v>
      </c>
      <c r="F21" s="1" t="s">
        <v>86</v>
      </c>
    </row>
    <row r="22" spans="1:6" x14ac:dyDescent="0.35">
      <c r="A22" s="1">
        <v>21</v>
      </c>
      <c r="B22" s="1" t="s">
        <v>27</v>
      </c>
      <c r="C22" s="1">
        <v>1</v>
      </c>
      <c r="D22" s="1">
        <v>276</v>
      </c>
      <c r="E22" s="1" t="s">
        <v>191</v>
      </c>
      <c r="F22" s="1" t="s">
        <v>82</v>
      </c>
    </row>
    <row r="23" spans="1:6" x14ac:dyDescent="0.35">
      <c r="A23" s="1">
        <v>22</v>
      </c>
      <c r="B23" s="1" t="s">
        <v>28</v>
      </c>
      <c r="C23" s="1">
        <v>2</v>
      </c>
      <c r="D23" s="1">
        <v>14</v>
      </c>
      <c r="E23" s="1" t="s">
        <v>156</v>
      </c>
      <c r="F23" s="1" t="s">
        <v>82</v>
      </c>
    </row>
    <row r="24" spans="1:6" x14ac:dyDescent="0.35">
      <c r="A24" s="1">
        <v>23</v>
      </c>
      <c r="B24" s="1" t="s">
        <v>29</v>
      </c>
      <c r="C24" s="1">
        <v>2</v>
      </c>
      <c r="D24" s="1">
        <v>81</v>
      </c>
      <c r="E24" s="1" t="s">
        <v>156</v>
      </c>
      <c r="F24" s="1" t="s">
        <v>82</v>
      </c>
    </row>
    <row r="25" spans="1:6" x14ac:dyDescent="0.35">
      <c r="A25" s="1">
        <v>24</v>
      </c>
      <c r="B25" s="1" t="s">
        <v>30</v>
      </c>
      <c r="C25" s="1">
        <v>2</v>
      </c>
      <c r="D25" s="1">
        <v>11</v>
      </c>
      <c r="E25" s="1" t="s">
        <v>156</v>
      </c>
      <c r="F25" s="1" t="s">
        <v>82</v>
      </c>
    </row>
    <row r="26" spans="1:6" x14ac:dyDescent="0.35">
      <c r="A26" s="1">
        <v>25</v>
      </c>
      <c r="B26" s="1" t="s">
        <v>31</v>
      </c>
      <c r="C26" s="1">
        <v>2</v>
      </c>
      <c r="D26" s="1">
        <v>18</v>
      </c>
      <c r="E26" s="1" t="s">
        <v>156</v>
      </c>
      <c r="F26" s="1" t="s">
        <v>82</v>
      </c>
    </row>
    <row r="27" spans="1:6" x14ac:dyDescent="0.35">
      <c r="A27" s="1">
        <v>26</v>
      </c>
      <c r="B27" s="1" t="s">
        <v>32</v>
      </c>
      <c r="C27" s="1">
        <v>3</v>
      </c>
      <c r="D27" s="1">
        <v>47</v>
      </c>
      <c r="E27" s="1" t="s">
        <v>156</v>
      </c>
      <c r="F27" s="1" t="s">
        <v>87</v>
      </c>
    </row>
    <row r="28" spans="1:6" x14ac:dyDescent="0.35">
      <c r="A28" s="1">
        <v>27</v>
      </c>
      <c r="B28" s="1" t="s">
        <v>33</v>
      </c>
      <c r="C28" s="1">
        <v>2</v>
      </c>
      <c r="D28" s="1">
        <v>92</v>
      </c>
      <c r="E28" s="1" t="s">
        <v>156</v>
      </c>
      <c r="F28" s="1" t="s">
        <v>86</v>
      </c>
    </row>
    <row r="29" spans="1:6" x14ac:dyDescent="0.35">
      <c r="A29" s="1">
        <v>28</v>
      </c>
      <c r="B29" s="1" t="s">
        <v>34</v>
      </c>
      <c r="C29" s="1" t="s">
        <v>6</v>
      </c>
      <c r="D29" s="1">
        <v>2</v>
      </c>
      <c r="E29" s="1" t="s">
        <v>156</v>
      </c>
      <c r="F29" s="1" t="s">
        <v>82</v>
      </c>
    </row>
    <row r="30" spans="1:6" x14ac:dyDescent="0.35">
      <c r="A30" s="1">
        <v>29</v>
      </c>
      <c r="B30" s="1" t="s">
        <v>26</v>
      </c>
      <c r="C30" s="1">
        <v>2</v>
      </c>
      <c r="D30" s="1">
        <v>8</v>
      </c>
      <c r="E30" s="1" t="s">
        <v>156</v>
      </c>
      <c r="F30" s="1" t="s">
        <v>86</v>
      </c>
    </row>
    <row r="31" spans="1:6" x14ac:dyDescent="0.35">
      <c r="A31" s="1">
        <v>30</v>
      </c>
      <c r="B31" s="1" t="s">
        <v>35</v>
      </c>
      <c r="C31" s="1">
        <v>3</v>
      </c>
      <c r="D31" s="1">
        <v>276</v>
      </c>
      <c r="E31" s="1" t="s">
        <v>157</v>
      </c>
      <c r="F31" s="1" t="s">
        <v>82</v>
      </c>
    </row>
    <row r="32" spans="1:6" x14ac:dyDescent="0.35">
      <c r="A32" s="1">
        <v>31</v>
      </c>
      <c r="B32" s="1" t="s">
        <v>36</v>
      </c>
      <c r="C32" s="1">
        <v>2</v>
      </c>
      <c r="D32" s="1">
        <v>215</v>
      </c>
      <c r="E32" s="1" t="s">
        <v>158</v>
      </c>
      <c r="F32" s="1" t="s">
        <v>84</v>
      </c>
    </row>
    <row r="33" spans="1:6" x14ac:dyDescent="0.35">
      <c r="A33" s="1">
        <v>32</v>
      </c>
      <c r="B33" s="1" t="s">
        <v>37</v>
      </c>
      <c r="C33" s="1">
        <v>2</v>
      </c>
      <c r="D33" s="1">
        <v>55</v>
      </c>
      <c r="E33" s="1" t="s">
        <v>158</v>
      </c>
      <c r="F33" s="1" t="s">
        <v>83</v>
      </c>
    </row>
    <row r="34" spans="1:6" x14ac:dyDescent="0.35">
      <c r="A34" s="1">
        <v>33</v>
      </c>
      <c r="B34" s="1" t="s">
        <v>38</v>
      </c>
      <c r="C34" s="1">
        <v>1</v>
      </c>
      <c r="D34" s="1">
        <v>450</v>
      </c>
      <c r="E34" s="1" t="s">
        <v>159</v>
      </c>
      <c r="F34" s="1" t="s">
        <v>88</v>
      </c>
    </row>
    <row r="35" spans="1:6" x14ac:dyDescent="0.35">
      <c r="A35" s="1">
        <v>34</v>
      </c>
      <c r="B35" s="1" t="s">
        <v>39</v>
      </c>
      <c r="C35" s="1" t="s">
        <v>6</v>
      </c>
      <c r="D35" s="1">
        <v>127</v>
      </c>
      <c r="E35" s="1" t="s">
        <v>160</v>
      </c>
      <c r="F35" s="1" t="s">
        <v>88</v>
      </c>
    </row>
    <row r="36" spans="1:6" x14ac:dyDescent="0.35">
      <c r="A36" s="1">
        <v>35</v>
      </c>
      <c r="B36" s="1" t="s">
        <v>40</v>
      </c>
      <c r="C36" s="1" t="s">
        <v>6</v>
      </c>
      <c r="D36" s="1">
        <v>2</v>
      </c>
      <c r="E36" s="1" t="s">
        <v>160</v>
      </c>
      <c r="F36" s="1" t="s">
        <v>90</v>
      </c>
    </row>
    <row r="37" spans="1:6" x14ac:dyDescent="0.35">
      <c r="A37" s="1">
        <v>36</v>
      </c>
      <c r="B37" s="1" t="s">
        <v>41</v>
      </c>
      <c r="C37" s="1" t="s">
        <v>6</v>
      </c>
      <c r="D37" s="1">
        <v>6</v>
      </c>
      <c r="E37" s="1" t="s">
        <v>160</v>
      </c>
      <c r="F37" s="1" t="s">
        <v>89</v>
      </c>
    </row>
    <row r="38" spans="1:6" x14ac:dyDescent="0.35">
      <c r="A38" s="1">
        <v>37</v>
      </c>
      <c r="B38" s="1" t="s">
        <v>42</v>
      </c>
      <c r="C38" s="1">
        <v>1</v>
      </c>
      <c r="D38" s="1">
        <v>10</v>
      </c>
      <c r="E38" s="1" t="s">
        <v>160</v>
      </c>
      <c r="F38" s="1" t="s">
        <v>90</v>
      </c>
    </row>
    <row r="39" spans="1:6" x14ac:dyDescent="0.35">
      <c r="A39" s="1">
        <v>38</v>
      </c>
      <c r="B39" s="1" t="s">
        <v>43</v>
      </c>
      <c r="C39" s="1" t="s">
        <v>20</v>
      </c>
      <c r="D39" s="1">
        <v>10</v>
      </c>
      <c r="E39" s="1" t="s">
        <v>160</v>
      </c>
      <c r="F39" s="1" t="s">
        <v>87</v>
      </c>
    </row>
    <row r="40" spans="1:6" x14ac:dyDescent="0.35">
      <c r="A40" s="1">
        <v>39</v>
      </c>
      <c r="B40" s="1" t="s">
        <v>43</v>
      </c>
      <c r="C40" s="1" t="s">
        <v>6</v>
      </c>
      <c r="D40" s="1">
        <v>4</v>
      </c>
      <c r="E40" s="1" t="s">
        <v>160</v>
      </c>
      <c r="F40" s="1" t="s">
        <v>87</v>
      </c>
    </row>
    <row r="41" spans="1:6" x14ac:dyDescent="0.35">
      <c r="A41" s="1">
        <v>40</v>
      </c>
      <c r="B41" s="1" t="s">
        <v>44</v>
      </c>
      <c r="C41" s="1">
        <v>4</v>
      </c>
      <c r="D41" s="1">
        <v>40</v>
      </c>
      <c r="E41" s="1" t="s">
        <v>161</v>
      </c>
      <c r="F41" s="1" t="s">
        <v>82</v>
      </c>
    </row>
    <row r="42" spans="1:6" x14ac:dyDescent="0.35">
      <c r="A42" s="1">
        <v>41</v>
      </c>
      <c r="B42" s="1" t="s">
        <v>45</v>
      </c>
      <c r="C42" s="1" t="s">
        <v>20</v>
      </c>
      <c r="D42" s="1">
        <v>5</v>
      </c>
      <c r="E42" s="1" t="s">
        <v>161</v>
      </c>
      <c r="F42" s="1" t="s">
        <v>82</v>
      </c>
    </row>
    <row r="43" spans="1:6" x14ac:dyDescent="0.35">
      <c r="A43" s="1">
        <v>42</v>
      </c>
      <c r="B43" s="1" t="s">
        <v>15</v>
      </c>
      <c r="C43" s="1" t="s">
        <v>20</v>
      </c>
      <c r="D43" s="1">
        <v>15</v>
      </c>
      <c r="E43" s="1" t="s">
        <v>161</v>
      </c>
      <c r="F43" s="1" t="s">
        <v>82</v>
      </c>
    </row>
    <row r="44" spans="1:6" x14ac:dyDescent="0.35">
      <c r="A44" s="1">
        <v>43</v>
      </c>
      <c r="B44" s="1" t="s">
        <v>16</v>
      </c>
      <c r="C44" s="1" t="s">
        <v>20</v>
      </c>
      <c r="D44" s="1">
        <v>25</v>
      </c>
      <c r="E44" s="1" t="s">
        <v>161</v>
      </c>
      <c r="F44" s="1" t="s">
        <v>82</v>
      </c>
    </row>
    <row r="45" spans="1:6" x14ac:dyDescent="0.35">
      <c r="A45" s="1">
        <v>44</v>
      </c>
      <c r="B45" s="1" t="s">
        <v>17</v>
      </c>
      <c r="C45" s="1" t="s">
        <v>20</v>
      </c>
      <c r="D45" s="1">
        <v>10</v>
      </c>
      <c r="E45" s="1" t="s">
        <v>161</v>
      </c>
      <c r="F45" s="1" t="s">
        <v>82</v>
      </c>
    </row>
    <row r="46" spans="1:6" x14ac:dyDescent="0.35">
      <c r="A46" s="1">
        <v>45</v>
      </c>
      <c r="B46" s="1" t="s">
        <v>7</v>
      </c>
      <c r="C46" s="1" t="s">
        <v>20</v>
      </c>
      <c r="D46" s="1">
        <v>25</v>
      </c>
      <c r="E46" s="1" t="s">
        <v>161</v>
      </c>
      <c r="F46" s="1" t="s">
        <v>82</v>
      </c>
    </row>
    <row r="47" spans="1:6" x14ac:dyDescent="0.35">
      <c r="A47" s="1">
        <v>46</v>
      </c>
      <c r="B47" s="1" t="s">
        <v>5</v>
      </c>
      <c r="C47" s="1" t="s">
        <v>20</v>
      </c>
      <c r="D47" s="1">
        <v>5</v>
      </c>
      <c r="E47" s="1" t="s">
        <v>161</v>
      </c>
      <c r="F47" s="1" t="s">
        <v>82</v>
      </c>
    </row>
    <row r="48" spans="1:6" x14ac:dyDescent="0.35">
      <c r="A48" s="1">
        <v>47</v>
      </c>
      <c r="B48" s="1" t="s">
        <v>8</v>
      </c>
      <c r="C48" s="1" t="s">
        <v>20</v>
      </c>
      <c r="D48" s="1">
        <v>50</v>
      </c>
      <c r="E48" s="1" t="s">
        <v>161</v>
      </c>
      <c r="F48" s="1" t="s">
        <v>82</v>
      </c>
    </row>
    <row r="49" spans="1:6" x14ac:dyDescent="0.35">
      <c r="A49" s="1">
        <v>48</v>
      </c>
      <c r="B49" s="1" t="s">
        <v>9</v>
      </c>
      <c r="C49" s="1" t="s">
        <v>20</v>
      </c>
      <c r="D49" s="1">
        <v>15</v>
      </c>
      <c r="E49" s="1" t="s">
        <v>161</v>
      </c>
      <c r="F49" s="1" t="s">
        <v>82</v>
      </c>
    </row>
    <row r="50" spans="1:6" x14ac:dyDescent="0.35">
      <c r="A50" s="1">
        <v>49</v>
      </c>
      <c r="B50" s="1" t="s">
        <v>11</v>
      </c>
      <c r="C50" s="1" t="s">
        <v>20</v>
      </c>
      <c r="D50" s="1">
        <v>25</v>
      </c>
      <c r="E50" s="1" t="s">
        <v>161</v>
      </c>
      <c r="F50" s="1" t="s">
        <v>82</v>
      </c>
    </row>
    <row r="51" spans="1:6" x14ac:dyDescent="0.35">
      <c r="A51" s="1">
        <v>50</v>
      </c>
      <c r="B51" s="1" t="s">
        <v>12</v>
      </c>
      <c r="C51" s="1" t="s">
        <v>20</v>
      </c>
      <c r="D51" s="1">
        <v>15</v>
      </c>
      <c r="E51" s="1" t="s">
        <v>161</v>
      </c>
      <c r="F51" s="1" t="s">
        <v>82</v>
      </c>
    </row>
    <row r="52" spans="1:6" x14ac:dyDescent="0.35">
      <c r="A52" s="1">
        <v>51</v>
      </c>
      <c r="B52" s="1" t="s">
        <v>10</v>
      </c>
      <c r="C52" s="1" t="s">
        <v>20</v>
      </c>
      <c r="D52" s="1">
        <v>30</v>
      </c>
      <c r="E52" s="1" t="s">
        <v>161</v>
      </c>
      <c r="F52" s="1" t="s">
        <v>82</v>
      </c>
    </row>
    <row r="53" spans="1:6" x14ac:dyDescent="0.35">
      <c r="A53" s="1">
        <v>52</v>
      </c>
      <c r="B53" s="1" t="s">
        <v>46</v>
      </c>
      <c r="C53" s="1" t="s">
        <v>6</v>
      </c>
      <c r="D53" s="1">
        <v>24</v>
      </c>
      <c r="E53" s="1" t="s">
        <v>161</v>
      </c>
      <c r="F53" s="1" t="s">
        <v>82</v>
      </c>
    </row>
    <row r="54" spans="1:6" x14ac:dyDescent="0.35">
      <c r="A54" s="1">
        <v>53</v>
      </c>
      <c r="B54" s="1" t="s">
        <v>18</v>
      </c>
      <c r="C54" s="1" t="s">
        <v>20</v>
      </c>
      <c r="D54" s="1">
        <v>36</v>
      </c>
      <c r="E54" s="1" t="s">
        <v>161</v>
      </c>
      <c r="F54" s="1" t="s">
        <v>83</v>
      </c>
    </row>
    <row r="55" spans="1:6" x14ac:dyDescent="0.35">
      <c r="A55" s="1">
        <v>54</v>
      </c>
      <c r="B55" s="1" t="s">
        <v>47</v>
      </c>
      <c r="C55" s="1">
        <v>2</v>
      </c>
      <c r="D55" s="1">
        <v>12</v>
      </c>
      <c r="E55" s="1" t="s">
        <v>161</v>
      </c>
      <c r="F55" s="1" t="s">
        <v>85</v>
      </c>
    </row>
    <row r="56" spans="1:6" x14ac:dyDescent="0.35">
      <c r="A56" s="1">
        <v>55</v>
      </c>
      <c r="B56" s="1" t="s">
        <v>38</v>
      </c>
      <c r="C56" s="1">
        <v>3</v>
      </c>
      <c r="D56" s="1">
        <v>404</v>
      </c>
      <c r="E56" s="1" t="s">
        <v>162</v>
      </c>
      <c r="F56" s="1" t="s">
        <v>88</v>
      </c>
    </row>
    <row r="57" spans="1:6" x14ac:dyDescent="0.35">
      <c r="A57" s="1">
        <v>56</v>
      </c>
      <c r="B57" s="1" t="s">
        <v>41</v>
      </c>
      <c r="C57" s="1" t="s">
        <v>20</v>
      </c>
      <c r="D57" s="1">
        <v>10</v>
      </c>
      <c r="E57" s="1" t="s">
        <v>162</v>
      </c>
      <c r="F57" s="1" t="s">
        <v>89</v>
      </c>
    </row>
    <row r="58" spans="1:6" x14ac:dyDescent="0.35">
      <c r="A58" s="1">
        <v>57</v>
      </c>
      <c r="B58" s="1" t="s">
        <v>48</v>
      </c>
      <c r="C58" s="1">
        <v>2</v>
      </c>
      <c r="D58" s="1">
        <v>276</v>
      </c>
      <c r="E58" s="1" t="s">
        <v>163</v>
      </c>
      <c r="F58" s="1" t="s">
        <v>85</v>
      </c>
    </row>
    <row r="59" spans="1:6" x14ac:dyDescent="0.35">
      <c r="A59" s="1">
        <v>58</v>
      </c>
      <c r="B59" s="1" t="s">
        <v>49</v>
      </c>
      <c r="C59" s="1">
        <v>1</v>
      </c>
      <c r="D59" s="1">
        <v>280</v>
      </c>
      <c r="E59" s="1" t="s">
        <v>164</v>
      </c>
      <c r="F59" s="1" t="s">
        <v>82</v>
      </c>
    </row>
    <row r="60" spans="1:6" x14ac:dyDescent="0.35">
      <c r="A60" s="1">
        <v>59</v>
      </c>
      <c r="B60" s="1" t="s">
        <v>29</v>
      </c>
      <c r="C60" s="1">
        <v>1</v>
      </c>
      <c r="D60" s="1">
        <v>80</v>
      </c>
      <c r="E60" s="1" t="s">
        <v>164</v>
      </c>
      <c r="F60" s="1" t="s">
        <v>82</v>
      </c>
    </row>
    <row r="61" spans="1:6" x14ac:dyDescent="0.35">
      <c r="A61" s="1">
        <v>60</v>
      </c>
      <c r="B61" s="1" t="s">
        <v>30</v>
      </c>
      <c r="C61" s="1">
        <v>1</v>
      </c>
      <c r="D61" s="1">
        <v>40</v>
      </c>
      <c r="E61" s="1" t="s">
        <v>164</v>
      </c>
      <c r="F61" s="1" t="s">
        <v>82</v>
      </c>
    </row>
    <row r="62" spans="1:6" x14ac:dyDescent="0.35">
      <c r="A62" s="1">
        <v>61</v>
      </c>
      <c r="B62" s="1" t="s">
        <v>50</v>
      </c>
      <c r="C62" s="1">
        <v>1</v>
      </c>
      <c r="D62" s="1">
        <v>30</v>
      </c>
      <c r="E62" s="1" t="s">
        <v>164</v>
      </c>
      <c r="F62" s="1" t="s">
        <v>82</v>
      </c>
    </row>
    <row r="63" spans="1:6" x14ac:dyDescent="0.35">
      <c r="A63" s="1">
        <v>62</v>
      </c>
      <c r="B63" s="1" t="s">
        <v>32</v>
      </c>
      <c r="C63" s="1">
        <v>1</v>
      </c>
      <c r="D63" s="1">
        <v>50</v>
      </c>
      <c r="E63" s="1" t="s">
        <v>164</v>
      </c>
      <c r="F63" s="1" t="s">
        <v>87</v>
      </c>
    </row>
    <row r="64" spans="1:6" x14ac:dyDescent="0.35">
      <c r="A64" s="1">
        <v>63</v>
      </c>
      <c r="B64" s="1" t="s">
        <v>51</v>
      </c>
      <c r="C64" s="1">
        <v>3</v>
      </c>
      <c r="D64" s="1">
        <v>88</v>
      </c>
      <c r="E64" s="1" t="s">
        <v>165</v>
      </c>
      <c r="F64" s="1" t="s">
        <v>90</v>
      </c>
    </row>
    <row r="65" spans="1:6" x14ac:dyDescent="0.35">
      <c r="A65" s="1">
        <v>64</v>
      </c>
      <c r="B65" s="1" t="s">
        <v>49</v>
      </c>
      <c r="C65" s="1">
        <v>3</v>
      </c>
      <c r="D65" s="1">
        <v>228</v>
      </c>
      <c r="E65" s="1" t="s">
        <v>165</v>
      </c>
      <c r="F65" s="1" t="s">
        <v>82</v>
      </c>
    </row>
    <row r="66" spans="1:6" x14ac:dyDescent="0.35">
      <c r="A66" s="1">
        <v>65</v>
      </c>
      <c r="B66" s="1" t="s">
        <v>52</v>
      </c>
      <c r="C66" s="1">
        <v>3</v>
      </c>
      <c r="D66" s="1">
        <v>19</v>
      </c>
      <c r="E66" s="1" t="s">
        <v>165</v>
      </c>
      <c r="F66" s="1" t="s">
        <v>82</v>
      </c>
    </row>
    <row r="67" spans="1:6" x14ac:dyDescent="0.35">
      <c r="A67" s="1">
        <v>66</v>
      </c>
      <c r="B67" s="1" t="s">
        <v>37</v>
      </c>
      <c r="C67" s="1">
        <v>3</v>
      </c>
      <c r="D67" s="1">
        <v>58</v>
      </c>
      <c r="E67" s="1" t="s">
        <v>165</v>
      </c>
      <c r="F67" s="1" t="s">
        <v>83</v>
      </c>
    </row>
    <row r="68" spans="1:6" x14ac:dyDescent="0.35">
      <c r="A68" s="1">
        <v>67</v>
      </c>
      <c r="B68" s="1" t="s">
        <v>33</v>
      </c>
      <c r="C68" s="1">
        <v>3</v>
      </c>
      <c r="D68" s="1">
        <v>98</v>
      </c>
      <c r="E68" s="1" t="s">
        <v>165</v>
      </c>
      <c r="F68" s="1" t="s">
        <v>86</v>
      </c>
    </row>
    <row r="69" spans="1:6" x14ac:dyDescent="0.35">
      <c r="A69" s="1">
        <v>68</v>
      </c>
      <c r="B69" s="1" t="s">
        <v>53</v>
      </c>
      <c r="C69" s="1">
        <v>4</v>
      </c>
      <c r="D69" s="1">
        <v>60</v>
      </c>
      <c r="E69" s="1" t="s">
        <v>166</v>
      </c>
      <c r="F69" s="1" t="s">
        <v>88</v>
      </c>
    </row>
    <row r="70" spans="1:6" x14ac:dyDescent="0.35">
      <c r="A70" s="1">
        <v>69</v>
      </c>
      <c r="B70" s="1" t="s">
        <v>54</v>
      </c>
      <c r="C70" s="1" t="s">
        <v>20</v>
      </c>
      <c r="D70" s="1">
        <v>120</v>
      </c>
      <c r="E70" s="1" t="s">
        <v>166</v>
      </c>
      <c r="F70" s="1" t="s">
        <v>88</v>
      </c>
    </row>
    <row r="71" spans="1:6" x14ac:dyDescent="0.35">
      <c r="A71" s="1">
        <v>70</v>
      </c>
      <c r="B71" s="1" t="s">
        <v>54</v>
      </c>
      <c r="C71" s="1" t="s">
        <v>6</v>
      </c>
      <c r="D71" s="1">
        <v>7</v>
      </c>
      <c r="E71" s="1" t="s">
        <v>166</v>
      </c>
      <c r="F71" s="1" t="s">
        <v>88</v>
      </c>
    </row>
    <row r="72" spans="1:6" x14ac:dyDescent="0.35">
      <c r="A72" s="1">
        <v>71</v>
      </c>
      <c r="B72" s="1" t="s">
        <v>51</v>
      </c>
      <c r="C72" s="1">
        <v>2</v>
      </c>
      <c r="D72" s="1">
        <v>75</v>
      </c>
      <c r="E72" s="1" t="s">
        <v>166</v>
      </c>
      <c r="F72" s="1" t="s">
        <v>90</v>
      </c>
    </row>
    <row r="73" spans="1:6" x14ac:dyDescent="0.35">
      <c r="A73" s="1">
        <v>72</v>
      </c>
      <c r="B73" s="1" t="s">
        <v>55</v>
      </c>
      <c r="C73" s="1">
        <v>1</v>
      </c>
      <c r="D73" s="1">
        <v>24</v>
      </c>
      <c r="E73" s="1" t="s">
        <v>166</v>
      </c>
      <c r="F73" s="1" t="s">
        <v>91</v>
      </c>
    </row>
    <row r="74" spans="1:6" x14ac:dyDescent="0.35">
      <c r="A74" s="1">
        <v>73</v>
      </c>
      <c r="B74" s="1" t="s">
        <v>55</v>
      </c>
      <c r="C74" s="1">
        <v>2</v>
      </c>
      <c r="D74" s="1">
        <v>16</v>
      </c>
      <c r="E74" s="1" t="s">
        <v>166</v>
      </c>
      <c r="F74" s="1" t="s">
        <v>91</v>
      </c>
    </row>
    <row r="75" spans="1:6" x14ac:dyDescent="0.35">
      <c r="A75" s="1">
        <v>74</v>
      </c>
      <c r="B75" s="1" t="s">
        <v>55</v>
      </c>
      <c r="C75" s="1">
        <v>3</v>
      </c>
      <c r="D75" s="1">
        <v>24</v>
      </c>
      <c r="E75" s="1" t="s">
        <v>166</v>
      </c>
      <c r="F75" s="1" t="s">
        <v>91</v>
      </c>
    </row>
    <row r="76" spans="1:6" x14ac:dyDescent="0.35">
      <c r="A76" s="1">
        <v>75</v>
      </c>
      <c r="B76" s="1" t="s">
        <v>48</v>
      </c>
      <c r="C76" s="1">
        <v>1</v>
      </c>
      <c r="D76" s="1">
        <v>280</v>
      </c>
      <c r="E76" s="1" t="s">
        <v>167</v>
      </c>
      <c r="F76" s="1" t="s">
        <v>85</v>
      </c>
    </row>
    <row r="77" spans="1:6" x14ac:dyDescent="0.35">
      <c r="A77" s="1">
        <v>76</v>
      </c>
      <c r="B77" s="1" t="s">
        <v>25</v>
      </c>
      <c r="C77" s="1">
        <v>1</v>
      </c>
      <c r="D77" s="1">
        <v>180</v>
      </c>
      <c r="E77" s="1" t="s">
        <v>167</v>
      </c>
      <c r="F77" s="1" t="s">
        <v>85</v>
      </c>
    </row>
    <row r="78" spans="1:6" x14ac:dyDescent="0.35">
      <c r="A78" s="1">
        <v>77</v>
      </c>
      <c r="B78" s="1" t="s">
        <v>56</v>
      </c>
      <c r="C78" s="1">
        <v>1</v>
      </c>
      <c r="D78" s="1">
        <v>20</v>
      </c>
      <c r="E78" s="1" t="s">
        <v>167</v>
      </c>
      <c r="F78" s="1" t="s">
        <v>89</v>
      </c>
    </row>
    <row r="79" spans="1:6" x14ac:dyDescent="0.35">
      <c r="A79" s="1">
        <v>78</v>
      </c>
      <c r="B79" s="1" t="s">
        <v>57</v>
      </c>
      <c r="C79" s="1">
        <v>1</v>
      </c>
      <c r="D79" s="1">
        <v>60</v>
      </c>
      <c r="E79" s="1" t="s">
        <v>167</v>
      </c>
      <c r="F79" s="1" t="s">
        <v>85</v>
      </c>
    </row>
    <row r="80" spans="1:6" x14ac:dyDescent="0.35">
      <c r="A80" s="1">
        <v>79</v>
      </c>
      <c r="B80" s="1" t="s">
        <v>36</v>
      </c>
      <c r="C80" s="1">
        <v>4</v>
      </c>
      <c r="D80" s="1">
        <v>220</v>
      </c>
      <c r="E80" s="1" t="s">
        <v>168</v>
      </c>
      <c r="F80" s="1" t="s">
        <v>84</v>
      </c>
    </row>
    <row r="81" spans="1:6" x14ac:dyDescent="0.35">
      <c r="A81" s="1">
        <v>80</v>
      </c>
      <c r="B81" s="1" t="s">
        <v>37</v>
      </c>
      <c r="C81" s="1">
        <v>4</v>
      </c>
      <c r="D81" s="1">
        <v>53</v>
      </c>
      <c r="E81" s="1" t="s">
        <v>168</v>
      </c>
      <c r="F81" s="1" t="s">
        <v>83</v>
      </c>
    </row>
    <row r="82" spans="1:6" x14ac:dyDescent="0.35">
      <c r="A82" s="1">
        <v>81</v>
      </c>
      <c r="B82" s="1" t="s">
        <v>36</v>
      </c>
      <c r="C82" s="1">
        <v>5</v>
      </c>
      <c r="D82" s="1">
        <v>222</v>
      </c>
      <c r="E82" s="1" t="s">
        <v>169</v>
      </c>
      <c r="F82" s="1" t="s">
        <v>92</v>
      </c>
    </row>
    <row r="83" spans="1:6" x14ac:dyDescent="0.35">
      <c r="A83" s="1">
        <v>82</v>
      </c>
      <c r="B83" s="1" t="s">
        <v>58</v>
      </c>
      <c r="C83" s="1">
        <v>1</v>
      </c>
      <c r="D83" s="1">
        <v>70</v>
      </c>
      <c r="E83" s="1" t="s">
        <v>169</v>
      </c>
      <c r="F83" s="1" t="s">
        <v>86</v>
      </c>
    </row>
    <row r="84" spans="1:6" x14ac:dyDescent="0.35">
      <c r="A84" s="1">
        <v>83</v>
      </c>
      <c r="B84" s="1" t="s">
        <v>38</v>
      </c>
      <c r="C84" s="1">
        <v>2</v>
      </c>
      <c r="D84" s="1">
        <v>363</v>
      </c>
      <c r="E84" s="1" t="s">
        <v>170</v>
      </c>
      <c r="F84" s="1" t="s">
        <v>88</v>
      </c>
    </row>
    <row r="85" spans="1:6" x14ac:dyDescent="0.35">
      <c r="A85" s="1">
        <v>84</v>
      </c>
      <c r="B85" s="1" t="s">
        <v>59</v>
      </c>
      <c r="C85" s="1" t="s">
        <v>201</v>
      </c>
      <c r="D85" s="1">
        <v>206</v>
      </c>
      <c r="E85" s="1" t="s">
        <v>171</v>
      </c>
      <c r="F85" s="1" t="s">
        <v>93</v>
      </c>
    </row>
    <row r="86" spans="1:6" x14ac:dyDescent="0.35">
      <c r="A86" s="1">
        <v>85</v>
      </c>
      <c r="B86" s="1" t="s">
        <v>60</v>
      </c>
      <c r="C86" s="1">
        <v>4</v>
      </c>
      <c r="D86" s="1">
        <v>93</v>
      </c>
      <c r="E86" s="1" t="s">
        <v>172</v>
      </c>
      <c r="F86" s="1" t="s">
        <v>86</v>
      </c>
    </row>
    <row r="87" spans="1:6" x14ac:dyDescent="0.35">
      <c r="A87" s="1">
        <v>86</v>
      </c>
      <c r="B87" s="1" t="s">
        <v>61</v>
      </c>
      <c r="C87" s="1">
        <v>2</v>
      </c>
      <c r="D87" s="1">
        <v>65</v>
      </c>
      <c r="E87" s="1" t="s">
        <v>172</v>
      </c>
      <c r="F87" s="1" t="s">
        <v>94</v>
      </c>
    </row>
    <row r="88" spans="1:6" x14ac:dyDescent="0.35">
      <c r="A88" s="1">
        <v>87</v>
      </c>
      <c r="B88" s="1" t="s">
        <v>61</v>
      </c>
      <c r="C88" s="1">
        <v>3</v>
      </c>
      <c r="D88" s="1">
        <v>59</v>
      </c>
      <c r="E88" s="1" t="s">
        <v>172</v>
      </c>
      <c r="F88" s="1" t="s">
        <v>94</v>
      </c>
    </row>
    <row r="89" spans="1:6" x14ac:dyDescent="0.35">
      <c r="A89" s="1">
        <v>88</v>
      </c>
      <c r="B89" s="1" t="s">
        <v>60</v>
      </c>
      <c r="C89" s="1">
        <v>4</v>
      </c>
      <c r="D89" s="1">
        <v>42</v>
      </c>
      <c r="E89" s="1" t="s">
        <v>172</v>
      </c>
      <c r="F89" s="1" t="s">
        <v>86</v>
      </c>
    </row>
    <row r="90" spans="1:6" x14ac:dyDescent="0.35">
      <c r="A90" s="1">
        <v>89</v>
      </c>
      <c r="B90" s="1" t="s">
        <v>62</v>
      </c>
      <c r="C90" s="1">
        <v>2</v>
      </c>
      <c r="D90" s="1">
        <v>123</v>
      </c>
      <c r="E90" s="1" t="s">
        <v>173</v>
      </c>
      <c r="F90" s="1" t="s">
        <v>82</v>
      </c>
    </row>
    <row r="91" spans="1:6" x14ac:dyDescent="0.35">
      <c r="A91" s="1">
        <v>90</v>
      </c>
      <c r="B91" s="1" t="s">
        <v>63</v>
      </c>
      <c r="C91" s="1">
        <v>2</v>
      </c>
      <c r="D91" s="1">
        <v>100</v>
      </c>
      <c r="E91" s="1" t="s">
        <v>173</v>
      </c>
      <c r="F91" s="1" t="s">
        <v>82</v>
      </c>
    </row>
    <row r="92" spans="1:6" x14ac:dyDescent="0.35">
      <c r="A92" s="1">
        <v>91</v>
      </c>
      <c r="B92" s="1" t="s">
        <v>64</v>
      </c>
      <c r="C92" s="1">
        <v>2</v>
      </c>
      <c r="D92" s="1">
        <v>53</v>
      </c>
      <c r="E92" s="1" t="s">
        <v>173</v>
      </c>
      <c r="F92" s="1" t="s">
        <v>82</v>
      </c>
    </row>
    <row r="93" spans="1:6" x14ac:dyDescent="0.35">
      <c r="A93" s="1">
        <v>92</v>
      </c>
      <c r="B93" s="1" t="s">
        <v>49</v>
      </c>
      <c r="C93" s="1">
        <v>2</v>
      </c>
      <c r="D93" s="1">
        <v>270</v>
      </c>
      <c r="E93" s="1" t="s">
        <v>174</v>
      </c>
      <c r="F93" s="1" t="s">
        <v>82</v>
      </c>
    </row>
    <row r="94" spans="1:6" x14ac:dyDescent="0.35">
      <c r="A94" s="1">
        <v>93</v>
      </c>
      <c r="B94" s="1" t="s">
        <v>27</v>
      </c>
      <c r="C94" s="1">
        <v>1</v>
      </c>
      <c r="D94" s="1">
        <v>276</v>
      </c>
      <c r="E94" s="1" t="s">
        <v>175</v>
      </c>
      <c r="F94" s="1" t="s">
        <v>82</v>
      </c>
    </row>
    <row r="95" spans="1:6" x14ac:dyDescent="0.35">
      <c r="A95" s="1">
        <v>94</v>
      </c>
      <c r="B95" s="1" t="s">
        <v>25</v>
      </c>
      <c r="C95" s="1">
        <v>3</v>
      </c>
      <c r="D95" s="1">
        <v>199</v>
      </c>
      <c r="E95" s="1" t="s">
        <v>176</v>
      </c>
      <c r="F95" s="1" t="s">
        <v>85</v>
      </c>
    </row>
    <row r="96" spans="1:6" x14ac:dyDescent="0.35">
      <c r="A96" s="1">
        <v>95</v>
      </c>
      <c r="B96" s="1" t="s">
        <v>36</v>
      </c>
      <c r="C96" s="1">
        <v>3</v>
      </c>
      <c r="D96" s="1">
        <v>208</v>
      </c>
      <c r="E96" s="1" t="s">
        <v>176</v>
      </c>
      <c r="F96" s="1" t="s">
        <v>84</v>
      </c>
    </row>
    <row r="97" spans="1:6" x14ac:dyDescent="0.35">
      <c r="A97" s="1">
        <v>96</v>
      </c>
      <c r="B97" s="1" t="s">
        <v>27</v>
      </c>
      <c r="C97" s="1">
        <v>1</v>
      </c>
      <c r="D97" s="1">
        <v>495</v>
      </c>
      <c r="E97" s="1" t="s">
        <v>177</v>
      </c>
      <c r="F97" s="1" t="s">
        <v>82</v>
      </c>
    </row>
    <row r="98" spans="1:6" x14ac:dyDescent="0.35">
      <c r="A98" s="1">
        <v>97</v>
      </c>
      <c r="B98" s="1" t="s">
        <v>65</v>
      </c>
      <c r="C98" s="1" t="s">
        <v>201</v>
      </c>
      <c r="D98" s="1">
        <v>50</v>
      </c>
      <c r="E98" s="1" t="s">
        <v>177</v>
      </c>
      <c r="F98" s="1" t="s">
        <v>82</v>
      </c>
    </row>
    <row r="99" spans="1:6" x14ac:dyDescent="0.35">
      <c r="A99" s="1">
        <v>98</v>
      </c>
      <c r="B99" s="1" t="s">
        <v>59</v>
      </c>
      <c r="C99" s="1" t="s">
        <v>201</v>
      </c>
      <c r="D99" s="1">
        <v>280</v>
      </c>
      <c r="E99" s="1" t="s">
        <v>178</v>
      </c>
      <c r="F99" s="1" t="s">
        <v>93</v>
      </c>
    </row>
    <row r="100" spans="1:6" x14ac:dyDescent="0.35">
      <c r="A100" s="1">
        <v>99</v>
      </c>
      <c r="B100" s="1" t="s">
        <v>66</v>
      </c>
      <c r="C100" s="1">
        <v>1</v>
      </c>
      <c r="D100" s="1">
        <v>150</v>
      </c>
      <c r="E100" s="1" t="s">
        <v>179</v>
      </c>
      <c r="F100" s="1" t="s">
        <v>82</v>
      </c>
    </row>
    <row r="101" spans="1:6" x14ac:dyDescent="0.35">
      <c r="A101" s="1">
        <v>100</v>
      </c>
      <c r="B101" s="1" t="s">
        <v>61</v>
      </c>
      <c r="C101" s="1">
        <v>1</v>
      </c>
      <c r="D101" s="1">
        <v>70</v>
      </c>
      <c r="E101" s="1" t="s">
        <v>179</v>
      </c>
      <c r="F101" s="1" t="s">
        <v>94</v>
      </c>
    </row>
    <row r="102" spans="1:6" x14ac:dyDescent="0.35">
      <c r="A102" s="1">
        <v>101</v>
      </c>
      <c r="B102" s="1" t="s">
        <v>152</v>
      </c>
      <c r="C102" s="1" t="s">
        <v>201</v>
      </c>
      <c r="D102" s="1">
        <v>61</v>
      </c>
      <c r="E102" s="1" t="s">
        <v>179</v>
      </c>
      <c r="F102" s="1" t="s">
        <v>95</v>
      </c>
    </row>
    <row r="103" spans="1:6" x14ac:dyDescent="0.35">
      <c r="A103" s="1">
        <v>102</v>
      </c>
      <c r="B103" s="1" t="s">
        <v>67</v>
      </c>
      <c r="C103" s="1" t="s">
        <v>201</v>
      </c>
      <c r="D103" s="1">
        <v>20</v>
      </c>
      <c r="E103" s="1" t="s">
        <v>179</v>
      </c>
      <c r="F103" s="1" t="s">
        <v>82</v>
      </c>
    </row>
    <row r="104" spans="1:6" x14ac:dyDescent="0.35">
      <c r="A104" s="1">
        <v>103</v>
      </c>
      <c r="B104" s="1" t="s">
        <v>68</v>
      </c>
      <c r="C104" s="1" t="s">
        <v>201</v>
      </c>
      <c r="D104" s="1">
        <v>20</v>
      </c>
      <c r="E104" s="1" t="s">
        <v>179</v>
      </c>
      <c r="F104" s="1" t="s">
        <v>82</v>
      </c>
    </row>
    <row r="105" spans="1:6" x14ac:dyDescent="0.35">
      <c r="A105" s="1">
        <v>104</v>
      </c>
      <c r="B105" s="1" t="s">
        <v>22</v>
      </c>
      <c r="C105" s="1">
        <v>3</v>
      </c>
      <c r="D105" s="1">
        <v>121</v>
      </c>
      <c r="E105" s="1" t="s">
        <v>180</v>
      </c>
      <c r="F105" s="1" t="s">
        <v>82</v>
      </c>
    </row>
    <row r="106" spans="1:6" x14ac:dyDescent="0.35">
      <c r="A106" s="1">
        <v>105</v>
      </c>
      <c r="B106" s="1" t="s">
        <v>69</v>
      </c>
      <c r="C106" s="1">
        <v>3</v>
      </c>
      <c r="D106" s="1">
        <v>34</v>
      </c>
      <c r="E106" s="1" t="s">
        <v>180</v>
      </c>
      <c r="F106" s="1" t="s">
        <v>82</v>
      </c>
    </row>
    <row r="107" spans="1:6" x14ac:dyDescent="0.35">
      <c r="A107" s="1">
        <v>106</v>
      </c>
      <c r="B107" s="1" t="s">
        <v>24</v>
      </c>
      <c r="C107" s="1">
        <v>3</v>
      </c>
      <c r="D107" s="1">
        <v>132</v>
      </c>
      <c r="E107" s="1" t="s">
        <v>180</v>
      </c>
      <c r="F107" s="1" t="s">
        <v>82</v>
      </c>
    </row>
    <row r="108" spans="1:6" x14ac:dyDescent="0.35">
      <c r="A108" s="1">
        <v>107</v>
      </c>
      <c r="B108" s="1" t="s">
        <v>70</v>
      </c>
      <c r="C108" s="1" t="s">
        <v>201</v>
      </c>
      <c r="D108" s="1">
        <v>5</v>
      </c>
      <c r="E108" s="1" t="s">
        <v>180</v>
      </c>
      <c r="F108" s="1" t="s">
        <v>82</v>
      </c>
    </row>
    <row r="109" spans="1:6" x14ac:dyDescent="0.35">
      <c r="A109" s="1">
        <v>108</v>
      </c>
      <c r="B109" s="1" t="s">
        <v>69</v>
      </c>
      <c r="C109" s="1">
        <v>2</v>
      </c>
      <c r="D109" s="1">
        <v>293</v>
      </c>
      <c r="E109" s="1" t="s">
        <v>181</v>
      </c>
      <c r="F109" s="1" t="s">
        <v>82</v>
      </c>
    </row>
    <row r="110" spans="1:6" x14ac:dyDescent="0.35">
      <c r="A110" s="1">
        <v>109</v>
      </c>
      <c r="B110" s="1" t="s">
        <v>71</v>
      </c>
      <c r="C110" s="1">
        <v>2</v>
      </c>
      <c r="D110" s="1">
        <v>116</v>
      </c>
      <c r="E110" s="1" t="s">
        <v>181</v>
      </c>
      <c r="F110" s="1" t="s">
        <v>82</v>
      </c>
    </row>
    <row r="111" spans="1:6" x14ac:dyDescent="0.35">
      <c r="A111" s="1">
        <v>110</v>
      </c>
      <c r="B111" s="1" t="s">
        <v>72</v>
      </c>
      <c r="C111" s="1">
        <v>2</v>
      </c>
      <c r="D111" s="1">
        <v>53</v>
      </c>
      <c r="E111" s="1" t="s">
        <v>181</v>
      </c>
      <c r="F111" s="1" t="s">
        <v>82</v>
      </c>
    </row>
    <row r="112" spans="1:6" x14ac:dyDescent="0.35">
      <c r="A112" s="1">
        <v>111</v>
      </c>
      <c r="B112" s="1" t="s">
        <v>73</v>
      </c>
      <c r="C112" s="1">
        <v>2</v>
      </c>
      <c r="D112" s="1">
        <v>57</v>
      </c>
      <c r="E112" s="1" t="s">
        <v>181</v>
      </c>
      <c r="F112" s="1" t="s">
        <v>82</v>
      </c>
    </row>
    <row r="113" spans="1:6" x14ac:dyDescent="0.35">
      <c r="A113" s="1">
        <v>112</v>
      </c>
      <c r="B113" s="1" t="s">
        <v>66</v>
      </c>
      <c r="C113" s="1">
        <v>3</v>
      </c>
      <c r="D113" s="1">
        <v>172</v>
      </c>
      <c r="E113" s="1" t="s">
        <v>182</v>
      </c>
      <c r="F113" s="1" t="s">
        <v>82</v>
      </c>
    </row>
    <row r="114" spans="1:6" x14ac:dyDescent="0.35">
      <c r="A114" s="1">
        <v>113</v>
      </c>
      <c r="B114" s="1" t="s">
        <v>74</v>
      </c>
      <c r="C114" s="1">
        <v>4</v>
      </c>
      <c r="D114" s="1">
        <v>8</v>
      </c>
      <c r="E114" s="1" t="s">
        <v>182</v>
      </c>
      <c r="F114" s="1" t="s">
        <v>82</v>
      </c>
    </row>
    <row r="115" spans="1:6" x14ac:dyDescent="0.35">
      <c r="A115" s="1">
        <v>114</v>
      </c>
      <c r="B115" s="1" t="s">
        <v>75</v>
      </c>
      <c r="C115" s="1">
        <v>1</v>
      </c>
      <c r="D115" s="1">
        <v>115</v>
      </c>
      <c r="E115" s="1" t="s">
        <v>182</v>
      </c>
      <c r="F115" s="1" t="s">
        <v>82</v>
      </c>
    </row>
    <row r="116" spans="1:6" x14ac:dyDescent="0.35">
      <c r="A116" s="1">
        <v>115</v>
      </c>
      <c r="B116" s="1" t="s">
        <v>66</v>
      </c>
      <c r="C116" s="1">
        <v>2</v>
      </c>
      <c r="D116" s="1">
        <v>165</v>
      </c>
      <c r="E116" s="1" t="s">
        <v>183</v>
      </c>
      <c r="F116" s="1" t="s">
        <v>82</v>
      </c>
    </row>
    <row r="117" spans="1:6" x14ac:dyDescent="0.35">
      <c r="A117" s="1">
        <v>116</v>
      </c>
      <c r="B117" s="1" t="s">
        <v>32</v>
      </c>
      <c r="C117" s="1">
        <v>2</v>
      </c>
      <c r="D117" s="1">
        <v>42</v>
      </c>
      <c r="E117" s="1" t="s">
        <v>183</v>
      </c>
      <c r="F117" s="1" t="s">
        <v>87</v>
      </c>
    </row>
    <row r="118" spans="1:6" x14ac:dyDescent="0.35">
      <c r="A118" s="1">
        <v>117</v>
      </c>
      <c r="B118" s="1" t="s">
        <v>76</v>
      </c>
      <c r="C118" s="1">
        <v>2</v>
      </c>
      <c r="D118" s="1">
        <v>8</v>
      </c>
      <c r="E118" s="1" t="s">
        <v>183</v>
      </c>
      <c r="F118" s="1" t="s">
        <v>96</v>
      </c>
    </row>
    <row r="119" spans="1:6" x14ac:dyDescent="0.35">
      <c r="A119" s="1">
        <v>118</v>
      </c>
      <c r="B119" s="1" t="s">
        <v>76</v>
      </c>
      <c r="C119" s="1">
        <v>3</v>
      </c>
      <c r="D119" s="1">
        <v>21</v>
      </c>
      <c r="E119" s="1" t="s">
        <v>183</v>
      </c>
      <c r="F119" s="1" t="s">
        <v>96</v>
      </c>
    </row>
    <row r="120" spans="1:6" x14ac:dyDescent="0.35">
      <c r="A120" s="1">
        <v>119</v>
      </c>
      <c r="B120" s="1" t="s">
        <v>76</v>
      </c>
      <c r="C120" s="1">
        <v>4</v>
      </c>
      <c r="D120" s="1">
        <v>9</v>
      </c>
      <c r="E120" s="1" t="s">
        <v>183</v>
      </c>
      <c r="F120" s="1" t="s">
        <v>96</v>
      </c>
    </row>
    <row r="121" spans="1:6" x14ac:dyDescent="0.35">
      <c r="A121" s="1">
        <v>120</v>
      </c>
      <c r="B121" s="1" t="s">
        <v>62</v>
      </c>
      <c r="C121" s="1">
        <v>4</v>
      </c>
      <c r="D121" s="1">
        <v>134</v>
      </c>
      <c r="E121" s="1" t="s">
        <v>184</v>
      </c>
      <c r="F121" s="1" t="s">
        <v>82</v>
      </c>
    </row>
    <row r="122" spans="1:6" x14ac:dyDescent="0.35">
      <c r="A122" s="1">
        <v>121</v>
      </c>
      <c r="B122" s="1" t="s">
        <v>24</v>
      </c>
      <c r="C122" s="1">
        <v>4</v>
      </c>
      <c r="D122" s="1">
        <v>136</v>
      </c>
      <c r="E122" s="1" t="s">
        <v>184</v>
      </c>
      <c r="F122" s="1" t="s">
        <v>82</v>
      </c>
    </row>
    <row r="123" spans="1:6" x14ac:dyDescent="0.35">
      <c r="A123" s="1">
        <v>122</v>
      </c>
      <c r="B123" s="1" t="s">
        <v>77</v>
      </c>
      <c r="C123" s="1" t="s">
        <v>20</v>
      </c>
      <c r="D123" s="1">
        <v>5</v>
      </c>
      <c r="E123" s="1" t="s">
        <v>184</v>
      </c>
      <c r="F123" s="1" t="s">
        <v>82</v>
      </c>
    </row>
    <row r="124" spans="1:6" x14ac:dyDescent="0.35">
      <c r="A124" s="1">
        <v>123</v>
      </c>
      <c r="B124" s="1" t="s">
        <v>34</v>
      </c>
      <c r="C124" s="1" t="s">
        <v>20</v>
      </c>
      <c r="D124" s="1">
        <v>5</v>
      </c>
      <c r="E124" s="1" t="s">
        <v>184</v>
      </c>
      <c r="F124" s="1" t="s">
        <v>82</v>
      </c>
    </row>
    <row r="125" spans="1:6" x14ac:dyDescent="0.35">
      <c r="A125" s="1">
        <v>124</v>
      </c>
      <c r="B125" s="1" t="s">
        <v>23</v>
      </c>
      <c r="C125" s="1">
        <v>3</v>
      </c>
      <c r="D125" s="1">
        <v>19</v>
      </c>
      <c r="E125" s="1" t="s">
        <v>185</v>
      </c>
      <c r="F125" s="1" t="s">
        <v>82</v>
      </c>
    </row>
    <row r="126" spans="1:6" x14ac:dyDescent="0.35">
      <c r="A126" s="1">
        <v>125</v>
      </c>
      <c r="B126" s="1" t="s">
        <v>71</v>
      </c>
      <c r="C126" s="1">
        <v>3</v>
      </c>
      <c r="D126" s="1">
        <v>90</v>
      </c>
      <c r="E126" s="1" t="s">
        <v>185</v>
      </c>
      <c r="F126" s="1" t="s">
        <v>82</v>
      </c>
    </row>
    <row r="127" spans="1:6" x14ac:dyDescent="0.35">
      <c r="A127" s="1">
        <v>126</v>
      </c>
      <c r="B127" s="1" t="s">
        <v>72</v>
      </c>
      <c r="C127" s="1">
        <v>3</v>
      </c>
      <c r="D127" s="1">
        <v>48</v>
      </c>
      <c r="E127" s="1" t="s">
        <v>185</v>
      </c>
      <c r="F127" s="1" t="s">
        <v>82</v>
      </c>
    </row>
    <row r="128" spans="1:6" x14ac:dyDescent="0.35">
      <c r="A128" s="1">
        <v>127</v>
      </c>
      <c r="B128" s="1" t="s">
        <v>73</v>
      </c>
      <c r="C128" s="1">
        <v>3</v>
      </c>
      <c r="D128" s="1">
        <v>51</v>
      </c>
      <c r="E128" s="1" t="s">
        <v>185</v>
      </c>
      <c r="F128" s="1" t="s">
        <v>82</v>
      </c>
    </row>
    <row r="129" spans="1:6" x14ac:dyDescent="0.35">
      <c r="A129" s="1">
        <v>128</v>
      </c>
      <c r="B129" s="1" t="s">
        <v>63</v>
      </c>
      <c r="C129" s="1">
        <v>3</v>
      </c>
      <c r="D129" s="1">
        <v>57</v>
      </c>
      <c r="E129" s="1" t="s">
        <v>185</v>
      </c>
      <c r="F129" s="1" t="s">
        <v>82</v>
      </c>
    </row>
    <row r="130" spans="1:6" x14ac:dyDescent="0.35">
      <c r="A130" s="1">
        <v>129</v>
      </c>
      <c r="B130" s="1" t="s">
        <v>48</v>
      </c>
      <c r="C130" s="1">
        <v>3</v>
      </c>
      <c r="D130" s="1">
        <v>323</v>
      </c>
      <c r="E130" s="1" t="s">
        <v>185</v>
      </c>
      <c r="F130" s="1" t="s">
        <v>85</v>
      </c>
    </row>
    <row r="131" spans="1:6" x14ac:dyDescent="0.35">
      <c r="A131" s="1">
        <v>130</v>
      </c>
      <c r="B131" s="1" t="s">
        <v>29</v>
      </c>
      <c r="C131" s="1">
        <v>3</v>
      </c>
      <c r="D131" s="1">
        <v>73</v>
      </c>
      <c r="E131" s="1" t="s">
        <v>186</v>
      </c>
      <c r="F131" s="1" t="s">
        <v>82</v>
      </c>
    </row>
    <row r="132" spans="1:6" x14ac:dyDescent="0.35">
      <c r="A132" s="1">
        <v>131</v>
      </c>
      <c r="B132" s="1" t="s">
        <v>31</v>
      </c>
      <c r="C132" s="1">
        <v>3</v>
      </c>
      <c r="D132" s="1">
        <v>25</v>
      </c>
      <c r="E132" s="1" t="s">
        <v>186</v>
      </c>
      <c r="F132" s="1" t="s">
        <v>82</v>
      </c>
    </row>
    <row r="133" spans="1:6" x14ac:dyDescent="0.35">
      <c r="A133" s="1">
        <v>132</v>
      </c>
      <c r="B133" s="1" t="s">
        <v>30</v>
      </c>
      <c r="C133" s="1">
        <v>3</v>
      </c>
      <c r="D133" s="1">
        <v>7</v>
      </c>
      <c r="E133" s="1" t="s">
        <v>186</v>
      </c>
      <c r="F133" s="1" t="s">
        <v>82</v>
      </c>
    </row>
    <row r="134" spans="1:6" x14ac:dyDescent="0.35">
      <c r="A134" s="1">
        <v>133</v>
      </c>
      <c r="B134" s="1" t="s">
        <v>76</v>
      </c>
      <c r="C134" s="1">
        <v>5</v>
      </c>
      <c r="D134" s="1">
        <v>4</v>
      </c>
      <c r="E134" s="1" t="s">
        <v>186</v>
      </c>
      <c r="F134" s="1" t="s">
        <v>96</v>
      </c>
    </row>
    <row r="135" spans="1:6" x14ac:dyDescent="0.35">
      <c r="A135" s="1">
        <v>134</v>
      </c>
      <c r="B135" s="1" t="s">
        <v>64</v>
      </c>
      <c r="C135" s="1">
        <v>3</v>
      </c>
      <c r="D135" s="1">
        <v>58</v>
      </c>
      <c r="E135" s="1" t="s">
        <v>186</v>
      </c>
      <c r="F135" s="1" t="s">
        <v>82</v>
      </c>
    </row>
    <row r="136" spans="1:6" x14ac:dyDescent="0.35">
      <c r="A136" s="1">
        <v>135</v>
      </c>
      <c r="B136" s="1" t="s">
        <v>62</v>
      </c>
      <c r="C136" s="1">
        <v>3</v>
      </c>
      <c r="D136" s="1">
        <v>110</v>
      </c>
      <c r="E136" s="1" t="s">
        <v>186</v>
      </c>
      <c r="F136" s="1" t="s">
        <v>82</v>
      </c>
    </row>
    <row r="137" spans="1:6" x14ac:dyDescent="0.35">
      <c r="A137" s="1">
        <v>136</v>
      </c>
      <c r="B137" s="1" t="s">
        <v>22</v>
      </c>
      <c r="C137" s="1">
        <v>4</v>
      </c>
      <c r="D137" s="1">
        <v>95</v>
      </c>
      <c r="E137" s="1" t="s">
        <v>187</v>
      </c>
      <c r="F137" s="1" t="s">
        <v>82</v>
      </c>
    </row>
    <row r="138" spans="1:6" x14ac:dyDescent="0.35">
      <c r="A138" s="1">
        <v>137</v>
      </c>
      <c r="B138" s="1" t="s">
        <v>71</v>
      </c>
      <c r="C138" s="1">
        <v>2</v>
      </c>
      <c r="D138" s="1">
        <v>80</v>
      </c>
      <c r="E138" s="1" t="s">
        <v>187</v>
      </c>
      <c r="F138" s="1" t="s">
        <v>82</v>
      </c>
    </row>
    <row r="139" spans="1:6" x14ac:dyDescent="0.35">
      <c r="A139" s="1">
        <v>138</v>
      </c>
      <c r="B139" s="1" t="s">
        <v>51</v>
      </c>
      <c r="C139" s="1">
        <v>4</v>
      </c>
      <c r="D139" s="1">
        <v>105</v>
      </c>
      <c r="E139" s="1" t="s">
        <v>187</v>
      </c>
      <c r="F139" s="1" t="s">
        <v>90</v>
      </c>
    </row>
    <row r="140" spans="1:6" x14ac:dyDescent="0.35">
      <c r="A140" s="1">
        <v>139</v>
      </c>
      <c r="B140" s="1" t="s">
        <v>40</v>
      </c>
      <c r="C140" s="1" t="s">
        <v>20</v>
      </c>
      <c r="D140" s="1">
        <v>10</v>
      </c>
      <c r="E140" s="1" t="s">
        <v>187</v>
      </c>
      <c r="F140" s="1" t="s">
        <v>90</v>
      </c>
    </row>
    <row r="141" spans="1:6" x14ac:dyDescent="0.35">
      <c r="A141" s="1">
        <v>140</v>
      </c>
      <c r="B141" s="1" t="s">
        <v>78</v>
      </c>
      <c r="C141" s="1">
        <v>1</v>
      </c>
      <c r="D141" s="1">
        <v>400</v>
      </c>
      <c r="E141" s="1" t="s">
        <v>188</v>
      </c>
      <c r="F141" s="1" t="s">
        <v>85</v>
      </c>
    </row>
    <row r="142" spans="1:6" x14ac:dyDescent="0.35">
      <c r="A142" s="1">
        <v>141</v>
      </c>
      <c r="B142" s="1" t="s">
        <v>79</v>
      </c>
      <c r="C142" s="1">
        <v>1</v>
      </c>
      <c r="D142" s="1">
        <v>240</v>
      </c>
      <c r="E142" s="1" t="s">
        <v>189</v>
      </c>
      <c r="F142" s="1" t="s">
        <v>84</v>
      </c>
    </row>
    <row r="143" spans="1:6" x14ac:dyDescent="0.35">
      <c r="A143" s="1">
        <v>142</v>
      </c>
      <c r="B143" s="1" t="s">
        <v>60</v>
      </c>
      <c r="C143" s="1">
        <v>1</v>
      </c>
      <c r="D143" s="1">
        <v>100</v>
      </c>
      <c r="E143" s="1" t="s">
        <v>189</v>
      </c>
      <c r="F143" s="1" t="s">
        <v>86</v>
      </c>
    </row>
    <row r="144" spans="1:6" x14ac:dyDescent="0.35">
      <c r="A144" s="1">
        <v>143</v>
      </c>
      <c r="B144" s="1" t="s">
        <v>30</v>
      </c>
      <c r="C144" s="1">
        <v>4</v>
      </c>
      <c r="D144" s="1">
        <v>1</v>
      </c>
      <c r="E144" s="1" t="s">
        <v>189</v>
      </c>
      <c r="F144" s="1" t="s">
        <v>82</v>
      </c>
    </row>
    <row r="145" spans="1:6" x14ac:dyDescent="0.35">
      <c r="A145" s="1">
        <v>144</v>
      </c>
      <c r="B145" s="1" t="s">
        <v>46</v>
      </c>
      <c r="C145" s="1" t="s">
        <v>20</v>
      </c>
      <c r="D145" s="1">
        <v>30</v>
      </c>
      <c r="E145" s="1" t="s">
        <v>189</v>
      </c>
      <c r="F145" s="1" t="s">
        <v>82</v>
      </c>
    </row>
    <row r="146" spans="1:6" x14ac:dyDescent="0.35">
      <c r="A146" s="1">
        <v>145</v>
      </c>
      <c r="B146" s="1" t="s">
        <v>47</v>
      </c>
      <c r="C146" s="1">
        <v>1</v>
      </c>
      <c r="D146" s="1">
        <v>20</v>
      </c>
      <c r="E146" s="1" t="s">
        <v>189</v>
      </c>
      <c r="F146" s="1" t="s">
        <v>85</v>
      </c>
    </row>
    <row r="147" spans="1:6" x14ac:dyDescent="0.35">
      <c r="A147" s="1">
        <v>146</v>
      </c>
      <c r="B147" s="1" t="s">
        <v>152</v>
      </c>
      <c r="C147" s="1" t="s">
        <v>201</v>
      </c>
      <c r="D147" s="1">
        <v>20</v>
      </c>
      <c r="E147" s="1" t="s">
        <v>189</v>
      </c>
      <c r="F147" s="1" t="s">
        <v>95</v>
      </c>
    </row>
    <row r="148" spans="1:6" x14ac:dyDescent="0.35">
      <c r="A148" s="1">
        <v>147</v>
      </c>
      <c r="B148" s="1" t="s">
        <v>80</v>
      </c>
      <c r="C148" s="1">
        <v>1</v>
      </c>
      <c r="D148" s="1">
        <v>100</v>
      </c>
      <c r="E148" s="1" t="s">
        <v>190</v>
      </c>
      <c r="F148" s="1" t="s">
        <v>90</v>
      </c>
    </row>
    <row r="149" spans="1:6" x14ac:dyDescent="0.35">
      <c r="A149" s="1">
        <v>148</v>
      </c>
      <c r="B149" s="1" t="s">
        <v>76</v>
      </c>
      <c r="C149" s="1">
        <v>1</v>
      </c>
      <c r="D149" s="1">
        <v>20</v>
      </c>
      <c r="E149" s="1" t="s">
        <v>190</v>
      </c>
      <c r="F149" s="1" t="s">
        <v>96</v>
      </c>
    </row>
    <row r="150" spans="1:6" x14ac:dyDescent="0.35">
      <c r="A150" s="1">
        <v>149</v>
      </c>
      <c r="B150" s="1" t="s">
        <v>28</v>
      </c>
      <c r="C150" s="1">
        <v>1</v>
      </c>
      <c r="D150" s="1">
        <v>15</v>
      </c>
      <c r="E150" s="1" t="s">
        <v>190</v>
      </c>
      <c r="F150" s="1" t="s">
        <v>82</v>
      </c>
    </row>
    <row r="151" spans="1:6" x14ac:dyDescent="0.35">
      <c r="A151" s="1">
        <v>150</v>
      </c>
      <c r="B151" s="1" t="s">
        <v>37</v>
      </c>
      <c r="C151" s="1">
        <v>1</v>
      </c>
      <c r="D151" s="1">
        <v>60</v>
      </c>
      <c r="E151" s="1" t="s">
        <v>190</v>
      </c>
      <c r="F151" s="1" t="s">
        <v>83</v>
      </c>
    </row>
    <row r="152" spans="1:6" x14ac:dyDescent="0.35">
      <c r="A152" s="1">
        <v>151</v>
      </c>
      <c r="B152" s="1" t="s">
        <v>27</v>
      </c>
      <c r="C152" s="1">
        <v>1</v>
      </c>
      <c r="D152" s="1">
        <v>83</v>
      </c>
      <c r="E152" s="1" t="s">
        <v>190</v>
      </c>
      <c r="F152" s="1" t="s">
        <v>82</v>
      </c>
    </row>
    <row r="153" spans="1:6" x14ac:dyDescent="0.35">
      <c r="A153" s="2" t="s">
        <v>200</v>
      </c>
      <c r="B153" s="2"/>
      <c r="D153" s="2">
        <f>SUM(D2:D152)</f>
        <v>13024</v>
      </c>
    </row>
    <row r="156" spans="1:6" x14ac:dyDescent="0.35">
      <c r="A156" s="8"/>
      <c r="B156" s="8" t="s">
        <v>111</v>
      </c>
      <c r="C156" s="8"/>
    </row>
    <row r="158" spans="1:6" x14ac:dyDescent="0.35">
      <c r="A158" s="2" t="s">
        <v>0</v>
      </c>
      <c r="B158" s="1">
        <v>148</v>
      </c>
    </row>
    <row r="159" spans="1:6" x14ac:dyDescent="0.35">
      <c r="A159" s="2" t="s">
        <v>109</v>
      </c>
      <c r="B159" s="1" t="str">
        <f>_xlfn.XLOOKUP(B158,A2:A152,B2:B152)</f>
        <v>B.Arch</v>
      </c>
    </row>
    <row r="160" spans="1:6" x14ac:dyDescent="0.35">
      <c r="A160" s="2" t="s">
        <v>2</v>
      </c>
      <c r="B160" s="1">
        <f>_xlfn.XLOOKUP(B158,A2:A152,C2:C152)</f>
        <v>1</v>
      </c>
    </row>
    <row r="161" spans="1:7" x14ac:dyDescent="0.35">
      <c r="A161" s="2" t="s">
        <v>4</v>
      </c>
      <c r="B161" s="1" t="str">
        <f>_xlfn.XLOOKUP(B158,A2:A152,E2:E152)</f>
        <v>Sal</v>
      </c>
    </row>
    <row r="163" spans="1:7" x14ac:dyDescent="0.35">
      <c r="A163" s="2" t="s">
        <v>0</v>
      </c>
      <c r="B163" s="1">
        <v>41</v>
      </c>
    </row>
    <row r="164" spans="1:7" x14ac:dyDescent="0.35">
      <c r="A164" s="2" t="s">
        <v>109</v>
      </c>
      <c r="B164" s="1" t="str">
        <f>_xlfn.XLOOKUP(B163,A2:A152,B2:B152)</f>
        <v>M.Sc (Computer Science/Electronics)</v>
      </c>
    </row>
    <row r="165" spans="1:7" x14ac:dyDescent="0.35">
      <c r="A165" s="2" t="s">
        <v>2</v>
      </c>
      <c r="B165" s="1" t="str">
        <f>_xlfn.XLOOKUP(B163,A2:A152,C2:C152)</f>
        <v>Previous</v>
      </c>
    </row>
    <row r="166" spans="1:7" x14ac:dyDescent="0.35">
      <c r="A166" s="2" t="s">
        <v>4</v>
      </c>
      <c r="B166" s="1" t="str">
        <f>_xlfn.XLOOKUP(B163,A2:A152,E2:E152)</f>
        <v>Cypress</v>
      </c>
    </row>
    <row r="168" spans="1:7" x14ac:dyDescent="0.35">
      <c r="A168" s="2" t="s">
        <v>0</v>
      </c>
      <c r="B168" s="1">
        <v>62</v>
      </c>
    </row>
    <row r="169" spans="1:7" x14ac:dyDescent="0.35">
      <c r="A169" s="2" t="s">
        <v>110</v>
      </c>
      <c r="B169" s="1" cm="1">
        <f t="array" ref="B169:G169">_xlfn.XLOOKUP(B168,A2:A152,A2:F152)</f>
        <v>62</v>
      </c>
      <c r="C169" s="1" t="str">
        <v>B.A (JMC)</v>
      </c>
      <c r="D169" s="1">
        <v>1</v>
      </c>
      <c r="E169" s="1">
        <v>50</v>
      </c>
      <c r="F169" t="str">
        <v>Poplar</v>
      </c>
      <c r="G169" t="str">
        <v xml:space="preserve">Journalism </v>
      </c>
    </row>
    <row r="170" spans="1:7" x14ac:dyDescent="0.35">
      <c r="A170" s="2"/>
    </row>
    <row r="171" spans="1:7" x14ac:dyDescent="0.35">
      <c r="A17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A8C3-8F1D-405B-96D8-CD995FD034FC}">
  <dimension ref="A1:H41"/>
  <sheetViews>
    <sheetView workbookViewId="0">
      <selection activeCell="G4" sqref="G4"/>
    </sheetView>
  </sheetViews>
  <sheetFormatPr defaultRowHeight="14.5" x14ac:dyDescent="0.35"/>
  <cols>
    <col min="2" max="2" width="14.81640625" style="1" customWidth="1"/>
    <col min="4" max="4" width="19.6328125" customWidth="1"/>
    <col min="5" max="5" width="13.08984375" style="1" customWidth="1"/>
    <col min="6" max="6" width="23.81640625" style="1" customWidth="1"/>
    <col min="7" max="7" width="19.26953125" customWidth="1"/>
  </cols>
  <sheetData>
    <row r="1" spans="1:8" x14ac:dyDescent="0.35">
      <c r="A1" s="6" t="s">
        <v>112</v>
      </c>
      <c r="B1" s="9" t="s">
        <v>100</v>
      </c>
      <c r="C1" s="6" t="s">
        <v>101</v>
      </c>
      <c r="D1" s="6" t="s">
        <v>192</v>
      </c>
      <c r="E1" s="9" t="s">
        <v>99</v>
      </c>
      <c r="F1" s="9" t="s">
        <v>102</v>
      </c>
      <c r="H1" s="7" t="s">
        <v>108</v>
      </c>
    </row>
    <row r="2" spans="1:8" x14ac:dyDescent="0.35">
      <c r="A2">
        <v>1</v>
      </c>
      <c r="B2" s="1" t="s">
        <v>153</v>
      </c>
      <c r="C2">
        <v>392</v>
      </c>
      <c r="D2">
        <f>SUMIF(allotment!E:E, "Maple", allotment!D:D)</f>
        <v>386</v>
      </c>
      <c r="E2" s="1" t="s">
        <v>113</v>
      </c>
      <c r="F2" s="1" t="str">
        <f>IF(D2&gt;C2, "overcapacity", IF(D2=C2, "on capacity", "undercapacity"))</f>
        <v>undercapacity</v>
      </c>
    </row>
    <row r="3" spans="1:8" x14ac:dyDescent="0.35">
      <c r="A3">
        <v>2</v>
      </c>
      <c r="B3" s="1" t="s">
        <v>154</v>
      </c>
      <c r="C3">
        <v>270</v>
      </c>
      <c r="D3">
        <f>SUMIF(allotment!E:E, "Oak", allotment!D:D)</f>
        <v>282</v>
      </c>
      <c r="E3" s="1" t="s">
        <v>114</v>
      </c>
      <c r="F3" s="1" t="str">
        <f t="shared" ref="F3:F40" si="0">IF(D3&gt;C3, "overcapacity", IF(D3=C3, "on capacity", "undercapacity"))</f>
        <v>overcapacity</v>
      </c>
    </row>
    <row r="4" spans="1:8" x14ac:dyDescent="0.35">
      <c r="A4">
        <v>3</v>
      </c>
      <c r="B4" s="1" t="s">
        <v>155</v>
      </c>
      <c r="C4">
        <v>154</v>
      </c>
      <c r="D4">
        <f>SUMIF(allotment!E:E, "Cedar", allotment!D:D)</f>
        <v>150</v>
      </c>
      <c r="E4" s="1" t="s">
        <v>115</v>
      </c>
      <c r="F4" s="1" t="str">
        <f t="shared" si="0"/>
        <v>undercapacity</v>
      </c>
    </row>
    <row r="5" spans="1:8" x14ac:dyDescent="0.35">
      <c r="A5">
        <v>4</v>
      </c>
      <c r="B5" s="1" t="s">
        <v>191</v>
      </c>
      <c r="C5">
        <v>270</v>
      </c>
      <c r="D5">
        <f>SUMIF(allotment!E:E, "Pine", allotment!D:D)</f>
        <v>276</v>
      </c>
      <c r="E5" s="1" t="s">
        <v>116</v>
      </c>
      <c r="F5" s="1" t="str">
        <f t="shared" si="0"/>
        <v>overcapacity</v>
      </c>
    </row>
    <row r="6" spans="1:8" x14ac:dyDescent="0.35">
      <c r="A6">
        <v>5</v>
      </c>
      <c r="B6" s="1" t="s">
        <v>156</v>
      </c>
      <c r="C6">
        <v>272</v>
      </c>
      <c r="D6">
        <f>SUMIF(allotment!E:E, "Willow", allotment!D:D)</f>
        <v>273</v>
      </c>
      <c r="E6" s="1" t="s">
        <v>117</v>
      </c>
      <c r="F6" s="1" t="str">
        <f t="shared" si="0"/>
        <v>overcapacity</v>
      </c>
    </row>
    <row r="7" spans="1:8" x14ac:dyDescent="0.35">
      <c r="A7">
        <v>6</v>
      </c>
      <c r="B7" s="1" t="s">
        <v>157</v>
      </c>
      <c r="C7">
        <v>270</v>
      </c>
      <c r="D7">
        <f>SUMIF(allotment!E:E, "Birch", allotment!D:D)</f>
        <v>276</v>
      </c>
      <c r="E7" s="1" t="s">
        <v>118</v>
      </c>
      <c r="F7" s="1" t="str">
        <f t="shared" si="0"/>
        <v>overcapacity</v>
      </c>
    </row>
    <row r="8" spans="1:8" x14ac:dyDescent="0.35">
      <c r="A8">
        <v>7</v>
      </c>
      <c r="B8" s="1" t="s">
        <v>158</v>
      </c>
      <c r="C8">
        <v>272</v>
      </c>
      <c r="D8">
        <f>SUMIF(allotment!E:E, "Elm", allotment!D:D)</f>
        <v>270</v>
      </c>
      <c r="E8" s="1" t="s">
        <v>119</v>
      </c>
      <c r="F8" s="1" t="str">
        <f t="shared" si="0"/>
        <v>undercapacity</v>
      </c>
    </row>
    <row r="9" spans="1:8" x14ac:dyDescent="0.35">
      <c r="A9">
        <v>8</v>
      </c>
      <c r="B9" s="1" t="s">
        <v>159</v>
      </c>
      <c r="C9">
        <v>453</v>
      </c>
      <c r="D9">
        <f>SUMIF(allotment!E:E, "Almond", allotment!D:D)</f>
        <v>450</v>
      </c>
      <c r="E9" s="1" t="s">
        <v>120</v>
      </c>
      <c r="F9" s="1" t="str">
        <f t="shared" si="0"/>
        <v>undercapacity</v>
      </c>
    </row>
    <row r="10" spans="1:8" x14ac:dyDescent="0.35">
      <c r="A10">
        <v>9</v>
      </c>
      <c r="B10" s="1" t="s">
        <v>160</v>
      </c>
      <c r="C10">
        <v>159</v>
      </c>
      <c r="D10">
        <f>SUMIF(allotment!E:E, "Redwood", allotment!D:D)</f>
        <v>159</v>
      </c>
      <c r="E10" s="1" t="s">
        <v>121</v>
      </c>
      <c r="F10" s="1" t="str">
        <f t="shared" si="0"/>
        <v>on capacity</v>
      </c>
    </row>
    <row r="11" spans="1:8" x14ac:dyDescent="0.35">
      <c r="A11">
        <v>10</v>
      </c>
      <c r="B11" s="1" t="s">
        <v>161</v>
      </c>
      <c r="C11">
        <v>332</v>
      </c>
      <c r="D11">
        <f>SUMIF(allotment!E:E, "Cypress", allotment!D:D)</f>
        <v>332</v>
      </c>
      <c r="E11" s="1" t="s">
        <v>122</v>
      </c>
      <c r="F11" s="1" t="str">
        <f t="shared" si="0"/>
        <v>on capacity</v>
      </c>
    </row>
    <row r="12" spans="1:8" x14ac:dyDescent="0.35">
      <c r="A12">
        <v>11</v>
      </c>
      <c r="B12" s="1" t="s">
        <v>162</v>
      </c>
      <c r="C12">
        <v>414</v>
      </c>
      <c r="D12">
        <f>SUMIF(allotment!E:E, "Spruce", allotment!D:D)</f>
        <v>414</v>
      </c>
      <c r="E12" s="1" t="s">
        <v>123</v>
      </c>
      <c r="F12" s="1" t="str">
        <f t="shared" si="0"/>
        <v>on capacity</v>
      </c>
    </row>
    <row r="13" spans="1:8" x14ac:dyDescent="0.35">
      <c r="A13">
        <v>12</v>
      </c>
      <c r="B13" s="1" t="s">
        <v>163</v>
      </c>
      <c r="C13">
        <v>273</v>
      </c>
      <c r="D13">
        <f>SUMIF(allotment!E:E, "Alder", allotment!D:D)</f>
        <v>276</v>
      </c>
      <c r="E13" s="1" t="s">
        <v>124</v>
      </c>
      <c r="F13" s="1" t="str">
        <f t="shared" si="0"/>
        <v>overcapacity</v>
      </c>
    </row>
    <row r="14" spans="1:8" x14ac:dyDescent="0.35">
      <c r="A14">
        <v>13</v>
      </c>
      <c r="B14" s="1" t="s">
        <v>164</v>
      </c>
      <c r="C14">
        <v>485</v>
      </c>
      <c r="D14">
        <f>SUMIF(allotment!E:E, "Poplar", allotment!D:D)</f>
        <v>480</v>
      </c>
      <c r="E14" s="1" t="s">
        <v>125</v>
      </c>
      <c r="F14" s="1" t="str">
        <f t="shared" si="0"/>
        <v>undercapacity</v>
      </c>
    </row>
    <row r="15" spans="1:8" x14ac:dyDescent="0.35">
      <c r="A15">
        <v>14</v>
      </c>
      <c r="B15" s="1" t="s">
        <v>165</v>
      </c>
      <c r="C15">
        <v>492</v>
      </c>
      <c r="D15">
        <f>SUMIF(allotment!E:E, "Walnut", allotment!D:D)</f>
        <v>491</v>
      </c>
      <c r="E15" s="1" t="s">
        <v>126</v>
      </c>
      <c r="F15" s="1" t="str">
        <f t="shared" si="0"/>
        <v>undercapacity</v>
      </c>
    </row>
    <row r="16" spans="1:8" x14ac:dyDescent="0.35">
      <c r="A16">
        <v>15</v>
      </c>
      <c r="B16" s="1" t="s">
        <v>166</v>
      </c>
      <c r="C16">
        <v>330</v>
      </c>
      <c r="D16">
        <f>SUMIF(allotment!E:E, "Chestnut", allotment!D:D)</f>
        <v>326</v>
      </c>
      <c r="E16" s="1" t="s">
        <v>127</v>
      </c>
      <c r="F16" s="1" t="str">
        <f t="shared" si="0"/>
        <v>undercapacity</v>
      </c>
    </row>
    <row r="17" spans="1:6" x14ac:dyDescent="0.35">
      <c r="A17">
        <v>16</v>
      </c>
      <c r="B17" s="1" t="s">
        <v>167</v>
      </c>
      <c r="C17">
        <v>542</v>
      </c>
      <c r="D17">
        <f>SUMIF(allotment!E:E, "Sycamore", allotment!D:D)</f>
        <v>540</v>
      </c>
      <c r="E17" s="1" t="s">
        <v>128</v>
      </c>
      <c r="F17" s="1" t="str">
        <f t="shared" si="0"/>
        <v>undercapacity</v>
      </c>
    </row>
    <row r="18" spans="1:6" x14ac:dyDescent="0.35">
      <c r="A18">
        <v>17</v>
      </c>
      <c r="B18" s="1" t="s">
        <v>168</v>
      </c>
      <c r="C18">
        <v>270</v>
      </c>
      <c r="D18">
        <f>SUMIF(allotment!E:E, "Magnolia", allotment!D:D)</f>
        <v>273</v>
      </c>
      <c r="E18" s="1" t="s">
        <v>129</v>
      </c>
      <c r="F18" s="1" t="str">
        <f t="shared" si="0"/>
        <v>overcapacity</v>
      </c>
    </row>
    <row r="19" spans="1:6" x14ac:dyDescent="0.35">
      <c r="A19">
        <v>18</v>
      </c>
      <c r="B19" s="1" t="s">
        <v>169</v>
      </c>
      <c r="C19">
        <v>294</v>
      </c>
      <c r="D19">
        <f>SUMIF(allotment!E:E, "Juniper", allotment!D:D)</f>
        <v>292</v>
      </c>
      <c r="E19" s="1" t="s">
        <v>130</v>
      </c>
      <c r="F19" s="1" t="str">
        <f t="shared" si="0"/>
        <v>undercapacity</v>
      </c>
    </row>
    <row r="20" spans="1:6" x14ac:dyDescent="0.35">
      <c r="A20">
        <v>19</v>
      </c>
      <c r="B20" s="1" t="s">
        <v>170</v>
      </c>
      <c r="C20">
        <v>364</v>
      </c>
      <c r="D20">
        <f>SUMIF(allotment!E:E, "Sequoia", allotment!D:D)</f>
        <v>363</v>
      </c>
      <c r="E20" s="1" t="s">
        <v>131</v>
      </c>
      <c r="F20" s="1" t="str">
        <f t="shared" si="0"/>
        <v>undercapacity</v>
      </c>
    </row>
    <row r="21" spans="1:6" x14ac:dyDescent="0.35">
      <c r="A21">
        <v>20</v>
      </c>
      <c r="B21" s="1" t="s">
        <v>171</v>
      </c>
      <c r="C21">
        <v>206</v>
      </c>
      <c r="D21">
        <f>SUMIF(allotment!E:E, "Bamboo", allotment!D:D)</f>
        <v>206</v>
      </c>
      <c r="E21" s="1" t="s">
        <v>132</v>
      </c>
      <c r="F21" s="1" t="str">
        <f t="shared" si="0"/>
        <v>on capacity</v>
      </c>
    </row>
    <row r="22" spans="1:6" x14ac:dyDescent="0.35">
      <c r="A22">
        <v>21</v>
      </c>
      <c r="B22" s="1" t="s">
        <v>172</v>
      </c>
      <c r="C22">
        <v>256</v>
      </c>
      <c r="D22">
        <f>SUMIF(allotment!E:E, "Teak", allotment!D:D)</f>
        <v>259</v>
      </c>
      <c r="E22" s="1" t="s">
        <v>133</v>
      </c>
      <c r="F22" s="1" t="str">
        <f t="shared" si="0"/>
        <v>overcapacity</v>
      </c>
    </row>
    <row r="23" spans="1:6" x14ac:dyDescent="0.35">
      <c r="A23">
        <v>22</v>
      </c>
      <c r="B23" s="1" t="s">
        <v>173</v>
      </c>
      <c r="C23">
        <v>270</v>
      </c>
      <c r="D23">
        <f>SUMIF(allotment!E:E, "Ebony", allotment!D:D)</f>
        <v>276</v>
      </c>
      <c r="E23" s="1" t="s">
        <v>134</v>
      </c>
      <c r="F23" s="1" t="str">
        <f t="shared" si="0"/>
        <v>overcapacity</v>
      </c>
    </row>
    <row r="24" spans="1:6" x14ac:dyDescent="0.35">
      <c r="A24">
        <v>23</v>
      </c>
      <c r="B24" s="1" t="s">
        <v>174</v>
      </c>
      <c r="C24">
        <v>270</v>
      </c>
      <c r="D24">
        <f>SUMIF(allotment!E:E, "Rosewood", allotment!D:D)</f>
        <v>270</v>
      </c>
      <c r="E24" s="1" t="s">
        <v>135</v>
      </c>
      <c r="F24" s="1" t="str">
        <f t="shared" si="0"/>
        <v>on capacity</v>
      </c>
    </row>
    <row r="25" spans="1:6" x14ac:dyDescent="0.35">
      <c r="A25">
        <v>24</v>
      </c>
      <c r="B25" s="1" t="s">
        <v>175</v>
      </c>
      <c r="C25">
        <v>270</v>
      </c>
      <c r="D25">
        <f>SUMIF(allotment!E:E, "Sandalwood", allotment!D:D)</f>
        <v>276</v>
      </c>
      <c r="E25" s="1" t="s">
        <v>136</v>
      </c>
      <c r="F25" s="1" t="str">
        <f t="shared" si="0"/>
        <v>overcapacity</v>
      </c>
    </row>
    <row r="26" spans="1:6" x14ac:dyDescent="0.35">
      <c r="A26">
        <v>25</v>
      </c>
      <c r="B26" s="1" t="s">
        <v>176</v>
      </c>
      <c r="C26">
        <v>396</v>
      </c>
      <c r="D26">
        <f>SUMIF(allotment!E:E, "Acacia", allotment!D:D)</f>
        <v>407</v>
      </c>
      <c r="E26" s="1" t="s">
        <v>137</v>
      </c>
      <c r="F26" s="1" t="str">
        <f t="shared" si="0"/>
        <v>overcapacity</v>
      </c>
    </row>
    <row r="27" spans="1:6" x14ac:dyDescent="0.35">
      <c r="A27">
        <v>26</v>
      </c>
      <c r="B27" s="1" t="s">
        <v>177</v>
      </c>
      <c r="C27">
        <v>545</v>
      </c>
      <c r="D27">
        <f>SUMIF(allotment!E:E, "Baobab", allotment!D:D)</f>
        <v>545</v>
      </c>
      <c r="E27" s="1" t="s">
        <v>138</v>
      </c>
      <c r="F27" s="1" t="str">
        <f t="shared" si="0"/>
        <v>on capacity</v>
      </c>
    </row>
    <row r="28" spans="1:6" x14ac:dyDescent="0.35">
      <c r="A28">
        <v>27</v>
      </c>
      <c r="B28" s="1" t="s">
        <v>178</v>
      </c>
      <c r="C28">
        <v>280</v>
      </c>
      <c r="D28">
        <f>SUMIF(allotment!E:E, "Palm", allotment!D:D)</f>
        <v>280</v>
      </c>
      <c r="E28" s="1" t="s">
        <v>139</v>
      </c>
      <c r="F28" s="1" t="str">
        <f t="shared" si="0"/>
        <v>on capacity</v>
      </c>
    </row>
    <row r="29" spans="1:6" x14ac:dyDescent="0.35">
      <c r="A29">
        <v>28</v>
      </c>
      <c r="B29" s="1" t="s">
        <v>179</v>
      </c>
      <c r="C29">
        <v>317</v>
      </c>
      <c r="D29">
        <f>SUMIF(allotment!E:E, "Fir", allotment!D:D)</f>
        <v>321</v>
      </c>
      <c r="E29" s="1" t="s">
        <v>140</v>
      </c>
      <c r="F29" s="1" t="str">
        <f t="shared" si="0"/>
        <v>overcapacity</v>
      </c>
    </row>
    <row r="30" spans="1:6" x14ac:dyDescent="0.35">
      <c r="A30">
        <v>29</v>
      </c>
      <c r="B30" s="1" t="s">
        <v>180</v>
      </c>
      <c r="C30">
        <v>294</v>
      </c>
      <c r="D30">
        <f>SUMIF(allotment!E:E, "Larch", allotment!D:D)</f>
        <v>292</v>
      </c>
      <c r="E30" s="1" t="s">
        <v>141</v>
      </c>
      <c r="F30" s="1" t="str">
        <f t="shared" si="0"/>
        <v>undercapacity</v>
      </c>
    </row>
    <row r="31" spans="1:6" x14ac:dyDescent="0.35">
      <c r="A31">
        <v>30</v>
      </c>
      <c r="B31" s="1" t="s">
        <v>181</v>
      </c>
      <c r="C31">
        <v>518</v>
      </c>
      <c r="D31">
        <f>SUMIF(allotment!E:E, "Hemlock", allotment!D:D)</f>
        <v>519</v>
      </c>
      <c r="E31" s="1" t="s">
        <v>142</v>
      </c>
      <c r="F31" s="1" t="str">
        <f t="shared" si="0"/>
        <v>overcapacity</v>
      </c>
    </row>
    <row r="32" spans="1:6" x14ac:dyDescent="0.35">
      <c r="A32">
        <v>31</v>
      </c>
      <c r="B32" s="1" t="s">
        <v>182</v>
      </c>
      <c r="C32">
        <v>292</v>
      </c>
      <c r="D32">
        <f>SUMIF(allotment!E:E, "Tamarind", allotment!D:D)</f>
        <v>295</v>
      </c>
      <c r="E32" s="1" t="s">
        <v>143</v>
      </c>
      <c r="F32" s="1" t="str">
        <f t="shared" si="0"/>
        <v>overcapacity</v>
      </c>
    </row>
    <row r="33" spans="1:6" x14ac:dyDescent="0.35">
      <c r="A33">
        <v>32</v>
      </c>
      <c r="B33" s="1" t="s">
        <v>183</v>
      </c>
      <c r="C33">
        <v>247</v>
      </c>
      <c r="D33">
        <f>SUMIF(allotment!E:E, "Neem", allotment!D:D)</f>
        <v>245</v>
      </c>
      <c r="E33" s="1" t="s">
        <v>144</v>
      </c>
      <c r="F33" s="1" t="str">
        <f t="shared" si="0"/>
        <v>undercapacity</v>
      </c>
    </row>
    <row r="34" spans="1:6" x14ac:dyDescent="0.35">
      <c r="A34">
        <v>33</v>
      </c>
      <c r="B34" s="1" t="s">
        <v>184</v>
      </c>
      <c r="C34">
        <v>294</v>
      </c>
      <c r="D34">
        <f>SUMIF(allotment!E:E, "Peepal", allotment!D:D)</f>
        <v>280</v>
      </c>
      <c r="E34" s="1" t="s">
        <v>145</v>
      </c>
      <c r="F34" s="1" t="str">
        <f t="shared" si="0"/>
        <v>undercapacity</v>
      </c>
    </row>
    <row r="35" spans="1:6" x14ac:dyDescent="0.35">
      <c r="A35">
        <v>34</v>
      </c>
      <c r="B35" s="1" t="s">
        <v>185</v>
      </c>
      <c r="C35">
        <v>586</v>
      </c>
      <c r="D35">
        <f>SUMIF(allotment!E:E, "Banyan", allotment!D:D)</f>
        <v>588</v>
      </c>
      <c r="E35" s="1" t="s">
        <v>146</v>
      </c>
      <c r="F35" s="1" t="str">
        <f t="shared" si="0"/>
        <v>overcapacity</v>
      </c>
    </row>
    <row r="36" spans="1:6" x14ac:dyDescent="0.35">
      <c r="A36">
        <v>35</v>
      </c>
      <c r="B36" s="1" t="s">
        <v>186</v>
      </c>
      <c r="C36">
        <v>270</v>
      </c>
      <c r="D36">
        <f>SUMIF(allotment!E:E, "Gulmohar", allotment!D:D)</f>
        <v>277</v>
      </c>
      <c r="E36" s="1" t="s">
        <v>147</v>
      </c>
      <c r="F36" s="1" t="str">
        <f t="shared" si="0"/>
        <v>overcapacity</v>
      </c>
    </row>
    <row r="37" spans="1:6" x14ac:dyDescent="0.35">
      <c r="A37">
        <v>36</v>
      </c>
      <c r="B37" s="1" t="s">
        <v>187</v>
      </c>
      <c r="C37">
        <v>294</v>
      </c>
      <c r="D37">
        <f>SUMIF(allotment!E:E, "Amaltas", allotment!D:D)</f>
        <v>290</v>
      </c>
      <c r="E37" s="1" t="s">
        <v>148</v>
      </c>
      <c r="F37" s="1" t="str">
        <f t="shared" si="0"/>
        <v>undercapacity</v>
      </c>
    </row>
    <row r="38" spans="1:6" x14ac:dyDescent="0.35">
      <c r="A38">
        <v>37</v>
      </c>
      <c r="B38" s="1" t="s">
        <v>188</v>
      </c>
      <c r="C38">
        <v>402</v>
      </c>
      <c r="D38">
        <f>SUMIF(allotment!E:E, "Kadamba", allotment!D:D)</f>
        <v>400</v>
      </c>
      <c r="E38" s="1" t="s">
        <v>149</v>
      </c>
      <c r="F38" s="1" t="str">
        <f t="shared" si="0"/>
        <v>undercapacity</v>
      </c>
    </row>
    <row r="39" spans="1:6" x14ac:dyDescent="0.35">
      <c r="A39">
        <v>38</v>
      </c>
      <c r="B39" s="1" t="s">
        <v>189</v>
      </c>
      <c r="C39">
        <v>411</v>
      </c>
      <c r="D39">
        <f>SUMIF(allotment!E:E, "Arjuna", allotment!D:D)</f>
        <v>411</v>
      </c>
      <c r="E39" s="1" t="s">
        <v>150</v>
      </c>
      <c r="F39" s="1" t="str">
        <f t="shared" si="0"/>
        <v>on capacity</v>
      </c>
    </row>
    <row r="40" spans="1:6" x14ac:dyDescent="0.35">
      <c r="A40">
        <v>39</v>
      </c>
      <c r="B40" s="1" t="s">
        <v>190</v>
      </c>
      <c r="C40">
        <v>272</v>
      </c>
      <c r="D40">
        <f>SUMIF(allotment!E:E, "Sal", allotment!D:D)</f>
        <v>278</v>
      </c>
      <c r="E40" s="1" t="s">
        <v>151</v>
      </c>
      <c r="F40" s="1" t="str">
        <f t="shared" si="0"/>
        <v>overcapacity</v>
      </c>
    </row>
    <row r="41" spans="1:6" x14ac:dyDescent="0.35">
      <c r="A41" s="10" t="s">
        <v>202</v>
      </c>
      <c r="B41" s="2"/>
      <c r="C41" s="10"/>
      <c r="D41" s="10">
        <f>SUM(D2:D40)</f>
        <v>13024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514F-F037-4C75-BD2B-066666E2FFEB}">
  <dimension ref="A1:E44"/>
  <sheetViews>
    <sheetView workbookViewId="0">
      <selection activeCell="G10" sqref="G10"/>
    </sheetView>
  </sheetViews>
  <sheetFormatPr defaultRowHeight="14.5" x14ac:dyDescent="0.35"/>
  <cols>
    <col min="1" max="1" width="16.90625" customWidth="1"/>
    <col min="2" max="2" width="14.6328125" bestFit="1" customWidth="1"/>
    <col min="3" max="3" width="11.7265625" customWidth="1"/>
    <col min="4" max="4" width="16.36328125" customWidth="1"/>
    <col min="5" max="5" width="24.36328125" customWidth="1"/>
    <col min="6" max="6" width="11.7265625" customWidth="1"/>
    <col min="7" max="7" width="22.453125" bestFit="1" customWidth="1"/>
    <col min="8" max="8" width="14.6328125" bestFit="1" customWidth="1"/>
  </cols>
  <sheetData>
    <row r="1" spans="1:5" s="10" customFormat="1" x14ac:dyDescent="0.35">
      <c r="A1" s="6" t="s">
        <v>194</v>
      </c>
      <c r="B1" s="6"/>
      <c r="D1" s="6" t="s">
        <v>196</v>
      </c>
      <c r="E1" s="6"/>
    </row>
    <row r="2" spans="1:5" s="10" customFormat="1" x14ac:dyDescent="0.35">
      <c r="A2" s="6" t="s">
        <v>195</v>
      </c>
      <c r="B2" s="6"/>
      <c r="D2" s="6" t="s">
        <v>197</v>
      </c>
      <c r="E2" s="6"/>
    </row>
    <row r="4" spans="1:5" x14ac:dyDescent="0.35">
      <c r="A4" s="4" t="s">
        <v>107</v>
      </c>
      <c r="B4" t="s">
        <v>98</v>
      </c>
      <c r="D4" s="4" t="s">
        <v>106</v>
      </c>
      <c r="E4" t="s">
        <v>193</v>
      </c>
    </row>
    <row r="5" spans="1:5" x14ac:dyDescent="0.35">
      <c r="A5" s="5" t="s">
        <v>176</v>
      </c>
      <c r="B5">
        <v>407</v>
      </c>
      <c r="D5" s="5" t="s">
        <v>103</v>
      </c>
      <c r="E5">
        <v>8</v>
      </c>
    </row>
    <row r="6" spans="1:5" x14ac:dyDescent="0.35">
      <c r="A6" s="5" t="s">
        <v>163</v>
      </c>
      <c r="B6">
        <v>276</v>
      </c>
      <c r="D6" s="5" t="s">
        <v>104</v>
      </c>
      <c r="E6">
        <v>16</v>
      </c>
    </row>
    <row r="7" spans="1:5" x14ac:dyDescent="0.35">
      <c r="A7" s="5" t="s">
        <v>159</v>
      </c>
      <c r="B7">
        <v>450</v>
      </c>
      <c r="D7" s="5" t="s">
        <v>105</v>
      </c>
      <c r="E7">
        <v>15</v>
      </c>
    </row>
    <row r="8" spans="1:5" x14ac:dyDescent="0.35">
      <c r="A8" s="5" t="s">
        <v>187</v>
      </c>
      <c r="B8">
        <v>290</v>
      </c>
      <c r="D8" s="5" t="s">
        <v>97</v>
      </c>
      <c r="E8">
        <v>39</v>
      </c>
    </row>
    <row r="9" spans="1:5" x14ac:dyDescent="0.35">
      <c r="A9" s="5" t="s">
        <v>189</v>
      </c>
      <c r="B9">
        <v>411</v>
      </c>
    </row>
    <row r="10" spans="1:5" x14ac:dyDescent="0.35">
      <c r="A10" s="5" t="s">
        <v>171</v>
      </c>
      <c r="B10">
        <v>206</v>
      </c>
    </row>
    <row r="11" spans="1:5" x14ac:dyDescent="0.35">
      <c r="A11" s="5" t="s">
        <v>185</v>
      </c>
      <c r="B11">
        <v>588</v>
      </c>
    </row>
    <row r="12" spans="1:5" x14ac:dyDescent="0.35">
      <c r="A12" s="5" t="s">
        <v>177</v>
      </c>
      <c r="B12">
        <v>545</v>
      </c>
      <c r="D12" s="6" t="s">
        <v>198</v>
      </c>
      <c r="E12" s="6"/>
    </row>
    <row r="13" spans="1:5" x14ac:dyDescent="0.35">
      <c r="A13" s="5" t="s">
        <v>157</v>
      </c>
      <c r="B13">
        <v>276</v>
      </c>
      <c r="D13" s="6" t="s">
        <v>199</v>
      </c>
      <c r="E13" s="6"/>
    </row>
    <row r="14" spans="1:5" x14ac:dyDescent="0.35">
      <c r="A14" s="5" t="s">
        <v>155</v>
      </c>
      <c r="B14">
        <v>150</v>
      </c>
    </row>
    <row r="15" spans="1:5" x14ac:dyDescent="0.35">
      <c r="A15" s="5" t="s">
        <v>166</v>
      </c>
      <c r="B15">
        <v>326</v>
      </c>
      <c r="D15" s="4" t="s">
        <v>81</v>
      </c>
      <c r="E15" t="s">
        <v>98</v>
      </c>
    </row>
    <row r="16" spans="1:5" x14ac:dyDescent="0.35">
      <c r="A16" s="5" t="s">
        <v>161</v>
      </c>
      <c r="B16">
        <v>332</v>
      </c>
      <c r="D16" s="5" t="s">
        <v>96</v>
      </c>
      <c r="E16">
        <v>62</v>
      </c>
    </row>
    <row r="17" spans="1:5" x14ac:dyDescent="0.35">
      <c r="A17" s="5" t="s">
        <v>173</v>
      </c>
      <c r="B17">
        <v>276</v>
      </c>
      <c r="D17" s="5" t="s">
        <v>88</v>
      </c>
      <c r="E17">
        <v>1531</v>
      </c>
    </row>
    <row r="18" spans="1:5" x14ac:dyDescent="0.35">
      <c r="A18" s="5" t="s">
        <v>158</v>
      </c>
      <c r="B18">
        <v>270</v>
      </c>
      <c r="D18" s="5" t="s">
        <v>91</v>
      </c>
      <c r="E18">
        <v>64</v>
      </c>
    </row>
    <row r="19" spans="1:5" x14ac:dyDescent="0.35">
      <c r="A19" s="5" t="s">
        <v>179</v>
      </c>
      <c r="B19">
        <v>321</v>
      </c>
      <c r="D19" s="5" t="s">
        <v>85</v>
      </c>
      <c r="E19">
        <v>1890</v>
      </c>
    </row>
    <row r="20" spans="1:5" x14ac:dyDescent="0.35">
      <c r="A20" s="5" t="s">
        <v>186</v>
      </c>
      <c r="B20">
        <v>277</v>
      </c>
      <c r="D20" s="5" t="s">
        <v>90</v>
      </c>
      <c r="E20">
        <v>390</v>
      </c>
    </row>
    <row r="21" spans="1:5" x14ac:dyDescent="0.35">
      <c r="A21" s="5" t="s">
        <v>181</v>
      </c>
      <c r="B21">
        <v>519</v>
      </c>
      <c r="D21" s="5" t="s">
        <v>86</v>
      </c>
      <c r="E21">
        <v>513</v>
      </c>
    </row>
    <row r="22" spans="1:5" x14ac:dyDescent="0.35">
      <c r="A22" s="5" t="s">
        <v>169</v>
      </c>
      <c r="B22">
        <v>292</v>
      </c>
      <c r="D22" s="5" t="s">
        <v>87</v>
      </c>
      <c r="E22">
        <v>153</v>
      </c>
    </row>
    <row r="23" spans="1:5" x14ac:dyDescent="0.35">
      <c r="A23" s="5" t="s">
        <v>188</v>
      </c>
      <c r="B23">
        <v>400</v>
      </c>
      <c r="D23" s="5" t="s">
        <v>84</v>
      </c>
      <c r="E23">
        <v>1120</v>
      </c>
    </row>
    <row r="24" spans="1:5" x14ac:dyDescent="0.35">
      <c r="A24" s="5" t="s">
        <v>180</v>
      </c>
      <c r="B24">
        <v>292</v>
      </c>
      <c r="D24" s="5" t="s">
        <v>94</v>
      </c>
      <c r="E24">
        <v>194</v>
      </c>
    </row>
    <row r="25" spans="1:5" x14ac:dyDescent="0.35">
      <c r="A25" s="5" t="s">
        <v>168</v>
      </c>
      <c r="B25">
        <v>273</v>
      </c>
      <c r="D25" s="5" t="s">
        <v>83</v>
      </c>
      <c r="E25">
        <v>287</v>
      </c>
    </row>
    <row r="26" spans="1:5" x14ac:dyDescent="0.35">
      <c r="A26" s="5" t="s">
        <v>153</v>
      </c>
      <c r="B26">
        <v>386</v>
      </c>
      <c r="D26" s="5" t="s">
        <v>95</v>
      </c>
      <c r="E26">
        <v>81</v>
      </c>
    </row>
    <row r="27" spans="1:5" x14ac:dyDescent="0.35">
      <c r="A27" s="5" t="s">
        <v>183</v>
      </c>
      <c r="B27">
        <v>245</v>
      </c>
      <c r="D27" s="5" t="s">
        <v>93</v>
      </c>
      <c r="E27">
        <v>486</v>
      </c>
    </row>
    <row r="28" spans="1:5" x14ac:dyDescent="0.35">
      <c r="A28" s="5" t="s">
        <v>154</v>
      </c>
      <c r="B28">
        <v>282</v>
      </c>
      <c r="D28" s="5" t="s">
        <v>82</v>
      </c>
      <c r="E28">
        <v>6217</v>
      </c>
    </row>
    <row r="29" spans="1:5" x14ac:dyDescent="0.35">
      <c r="A29" s="5" t="s">
        <v>178</v>
      </c>
      <c r="B29">
        <v>280</v>
      </c>
      <c r="D29" s="5" t="s">
        <v>89</v>
      </c>
      <c r="E29">
        <v>36</v>
      </c>
    </row>
    <row r="30" spans="1:5" x14ac:dyDescent="0.35">
      <c r="A30" s="5" t="s">
        <v>184</v>
      </c>
      <c r="B30">
        <v>280</v>
      </c>
      <c r="D30" s="5" t="s">
        <v>97</v>
      </c>
      <c r="E30">
        <v>13024</v>
      </c>
    </row>
    <row r="31" spans="1:5" x14ac:dyDescent="0.35">
      <c r="A31" s="5" t="s">
        <v>191</v>
      </c>
      <c r="B31">
        <v>276</v>
      </c>
    </row>
    <row r="32" spans="1:5" x14ac:dyDescent="0.35">
      <c r="A32" s="5" t="s">
        <v>164</v>
      </c>
      <c r="B32">
        <v>480</v>
      </c>
    </row>
    <row r="33" spans="1:2" x14ac:dyDescent="0.35">
      <c r="A33" s="5" t="s">
        <v>160</v>
      </c>
      <c r="B33">
        <v>159</v>
      </c>
    </row>
    <row r="34" spans="1:2" x14ac:dyDescent="0.35">
      <c r="A34" s="5" t="s">
        <v>174</v>
      </c>
      <c r="B34">
        <v>270</v>
      </c>
    </row>
    <row r="35" spans="1:2" x14ac:dyDescent="0.35">
      <c r="A35" s="5" t="s">
        <v>190</v>
      </c>
      <c r="B35">
        <v>278</v>
      </c>
    </row>
    <row r="36" spans="1:2" x14ac:dyDescent="0.35">
      <c r="A36" s="5" t="s">
        <v>175</v>
      </c>
      <c r="B36">
        <v>276</v>
      </c>
    </row>
    <row r="37" spans="1:2" x14ac:dyDescent="0.35">
      <c r="A37" s="5" t="s">
        <v>170</v>
      </c>
      <c r="B37">
        <v>363</v>
      </c>
    </row>
    <row r="38" spans="1:2" x14ac:dyDescent="0.35">
      <c r="A38" s="5" t="s">
        <v>162</v>
      </c>
      <c r="B38">
        <v>414</v>
      </c>
    </row>
    <row r="39" spans="1:2" x14ac:dyDescent="0.35">
      <c r="A39" s="5" t="s">
        <v>167</v>
      </c>
      <c r="B39">
        <v>540</v>
      </c>
    </row>
    <row r="40" spans="1:2" x14ac:dyDescent="0.35">
      <c r="A40" s="5" t="s">
        <v>182</v>
      </c>
      <c r="B40">
        <v>295</v>
      </c>
    </row>
    <row r="41" spans="1:2" x14ac:dyDescent="0.35">
      <c r="A41" s="5" t="s">
        <v>172</v>
      </c>
      <c r="B41">
        <v>259</v>
      </c>
    </row>
    <row r="42" spans="1:2" x14ac:dyDescent="0.35">
      <c r="A42" s="5" t="s">
        <v>165</v>
      </c>
      <c r="B42">
        <v>491</v>
      </c>
    </row>
    <row r="43" spans="1:2" x14ac:dyDescent="0.35">
      <c r="A43" s="5" t="s">
        <v>156</v>
      </c>
      <c r="B43">
        <v>273</v>
      </c>
    </row>
    <row r="44" spans="1:2" x14ac:dyDescent="0.35">
      <c r="A44" s="5" t="s">
        <v>97</v>
      </c>
      <c r="B44">
        <v>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allotment</vt:lpstr>
      <vt:lpstr>hostels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popli</cp:lastModifiedBy>
  <dcterms:created xsi:type="dcterms:W3CDTF">2026-02-22T20:48:22Z</dcterms:created>
  <dcterms:modified xsi:type="dcterms:W3CDTF">2026-04-29T03:07:54Z</dcterms:modified>
</cp:coreProperties>
</file>